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" sheetId="1" r:id="rId4"/>
    <sheet state="visible" name="Patrick " sheetId="2" r:id="rId5"/>
    <sheet state="visible" name="Camden" sheetId="3" r:id="rId6"/>
    <sheet state="visible" name="Jaein" sheetId="4" r:id="rId7"/>
    <sheet state="visible" name="Total" sheetId="5" r:id="rId8"/>
    <sheet state="visible" name="integrated pcb parts list" sheetId="6" r:id="rId9"/>
    <sheet state="visible" name="all parts ordered" sheetId="7" r:id="rId10"/>
  </sheets>
  <definedNames/>
  <calcPr/>
</workbook>
</file>

<file path=xl/sharedStrings.xml><?xml version="1.0" encoding="utf-8"?>
<sst xmlns="http://schemas.openxmlformats.org/spreadsheetml/2006/main" count="795" uniqueCount="321">
  <si>
    <t>Part Number</t>
  </si>
  <si>
    <t xml:space="preserve">Quantity </t>
  </si>
  <si>
    <t>Link</t>
  </si>
  <si>
    <t>total</t>
  </si>
  <si>
    <t>unit</t>
  </si>
  <si>
    <t>GMK107AB7105KAHT</t>
  </si>
  <si>
    <t>https://www.digikey.com/en/products/detail/taiyo-yuden/GMK107AB7105KAHT/4157322</t>
  </si>
  <si>
    <t>CC0603KRX7R8BB473</t>
  </si>
  <si>
    <t>https://www.digikey.com/en/products/detail/yageo/CC0603KRX7R8BB473/2103111</t>
  </si>
  <si>
    <t>GRM188D71A106KA73D</t>
  </si>
  <si>
    <t>https://www.digikey.com/en/products/detail/murata-electronics/GRM188D71A106KA73D/6606090</t>
  </si>
  <si>
    <t>CC0603KRX7R8BB104</t>
  </si>
  <si>
    <t>https://www.digikey.com/en/products/detail/yageo/CC0603KRX7R8BB104/2103079</t>
  </si>
  <si>
    <t>GRT188R61E106ME13D</t>
  </si>
  <si>
    <t>https://www.mouser.com/ProductDetail/Murata-Electronics/GRT188R61E106ME13D?qs=drgMNd%252BkGPNNTFaFP8SYQA%3D%3D</t>
  </si>
  <si>
    <t>CL21B475KOFNFNE</t>
  </si>
  <si>
    <t>https://www.digikey.com/en/products/detail/samsung-electro-mechanics/CL21B475KOFNFNE/3888628</t>
  </si>
  <si>
    <t>LTST-C190GKT</t>
  </si>
  <si>
    <t>https://www.digikey.com/en/products/detail/liteon/LTST-C190GKT/269230</t>
  </si>
  <si>
    <t>ED1202DS</t>
  </si>
  <si>
    <t>https://www.digikey.com/en/products/detail/on-shore-technology-inc/ED120-2DS/33892</t>
  </si>
  <si>
    <t>PEC08SAAN</t>
  </si>
  <si>
    <t>https://www.digikey.com/en/products/detail/sullins-connector-solutions/PEC08SAAN/859161</t>
  </si>
  <si>
    <t>OSTTA034163</t>
  </si>
  <si>
    <t>https://www.digikey.com/en/products/detail/on-shore-technology-inc/OSTTA034163/614530</t>
  </si>
  <si>
    <t>PEC02SAAN</t>
  </si>
  <si>
    <t>https://www.digikey.com/en/products/detail/sullins-connector-solutions/PEC02SAAN/859155</t>
  </si>
  <si>
    <t>SRP3212-1R0M</t>
  </si>
  <si>
    <t>https://www.mouser.com/ProductDetail/Bourns/SRP3212-1R0M?qs=t7xnP681wgVwh6hWpVPUMg%3D%3D&amp;srsltid=AfmBOoqKSfEm93R632YHapfdNC8yoJsyTpBQREwjkc1f02OwDUNJV7oZ</t>
  </si>
  <si>
    <t>WSL2010R0100FEA18</t>
  </si>
  <si>
    <t>https://www.digikey.com/en/products/detail/vishay-dale/WSL2010R0100FEA18/712518</t>
  </si>
  <si>
    <t>CRCW040210K0FKEDHP</t>
  </si>
  <si>
    <t>https://www.digikey.com/en/products/detail/vishay-dale/CRCW040210K0FKEDHP/2222530</t>
  </si>
  <si>
    <t>CRCW0603430RFKEA</t>
  </si>
  <si>
    <t>https://www.digikey.com/en/products/detail/vishay-dale/CRCW0603430RFKEA/1174625</t>
  </si>
  <si>
    <t>RC0603FR-075K23L</t>
  </si>
  <si>
    <t>https://www.digikey.com/en/products/detail/yageo/RC0603FR-075K23L/727272</t>
  </si>
  <si>
    <t>RMCF0603FT30K1</t>
  </si>
  <si>
    <t>https://www.digikey.com/en/products/detail/stackpole-electronics-inc/RMCF0603FT30K1/1760864</t>
  </si>
  <si>
    <t>5002</t>
  </si>
  <si>
    <t>https://www.digikey.com/en/products/detail/keystone-electronics/5002/255328</t>
  </si>
  <si>
    <t>BQ25622RYKR</t>
  </si>
  <si>
    <t>https://www.digikey.com/en/products/detail/texas-instruments/BQ25622RYKR/17878421</t>
  </si>
  <si>
    <t xml:space="preserve">	$3.47000</t>
  </si>
  <si>
    <t>P110</t>
  </si>
  <si>
    <t>https://www.digikey.com/en/products/detail/voltaic-systems/P110/12154976</t>
  </si>
  <si>
    <t>&lt;-temp removed from BOM</t>
  </si>
  <si>
    <t>SNT-100-BK-G</t>
  </si>
  <si>
    <t>https://www.digikey.com/en/products/detail/samtec-inc/SNT-100-BK-G/1756763</t>
  </si>
  <si>
    <t xml:space="preserve">Item name </t>
  </si>
  <si>
    <t>Cost (each)</t>
  </si>
  <si>
    <t xml:space="preserve">Total cost </t>
  </si>
  <si>
    <t xml:space="preserve">Battery Leads Holder </t>
  </si>
  <si>
    <t xml:space="preserve">Battery Holder </t>
  </si>
  <si>
    <t>https://www.amazon.com/18650-Battery-Batteries-Parallel-Projects/dp/B0972YP22H/ref=sr_1_18?crid=2FEZ1EID6KSDD&amp;dib=eyJ2IjoiMSJ9.Q1nOyfD8vezgVu_b-MB7t69M4YXOTjdW4kEL4rBEMJGPbzLGGURwG1qBKTS6jGMMdFMnOOQ-iJOblDaKZ2sz0L9oaBxs3wCsOkPvVXpstYcMjKgp4KmSMZUwSp3Dprnin5ZURmrGAyauGR6N_L6PkDCJdCifZIFbhHjMxu96VDSFH4ss-39rsKtf4i6uQS9dFA798tLJA5rJYoOvr2on8Pta1-mpY2q1HqJJddQEwb4.vHUHq6RvB-B8vroWpN6yUOe_lgrCyRuU16ztaeZdCsY&amp;dib_tag=se&amp;keywords=1s3p+18650+battery+holder&amp;qid=1729301073&amp;sprefix=1s3p+18650+battery+holder%2Caps%2C121&amp;sr=8-18</t>
  </si>
  <si>
    <t xml:space="preserve"> </t>
  </si>
  <si>
    <t>Samsung 25R 18650</t>
  </si>
  <si>
    <t>batteries</t>
  </si>
  <si>
    <t>https://www.18650batterystore.com/products/samsung-25r-18650?srsltid=AfmBOoqOd6amBo2k6fXbt8Ez1FFmxleVQQK22SfTF0i5rxWp3cT61cEZ</t>
  </si>
  <si>
    <t>BQ28z620</t>
  </si>
  <si>
    <t>IC</t>
  </si>
  <si>
    <t>https://www.ti.com/product/BQ28Z620?utm_source=google&amp;utm_medium=cpc&amp;utm_campaign=app-bms-null-44700045336317371_prodfolderdynamic-cpc-pf-google-ww_en_int&amp;utm_content=prodfolddynamic&amp;ds_k=DYNAMIC+SEARCH+ADS&amp;DCM=yes&amp;gad_source=1&amp;gclid=Cj0KCQjwveK4BhD4ARIsAKy6pMKv8L3h6meehNVrphMxPfA883rhLV5SwvoduBgxFJBQfeDsUA4RN5MaAi0KEALw_wcB&amp;gclsrc=aw.ds#order-quality</t>
  </si>
  <si>
    <t>connector</t>
  </si>
  <si>
    <t>https://www.digikey.com/en/products/detail/w%C3%BCrth-elektronik/691210910004/11477505?s=N4IgTCBcDaIGwE4CMYkAZlqwFhAXQF8g</t>
  </si>
  <si>
    <t>MFR-25FBF52-100R</t>
  </si>
  <si>
    <t xml:space="preserve">resistor </t>
  </si>
  <si>
    <t>https://www.digikey.com/en/products/detail/yageo/MFR-25FBF52-100R/12795?s=N4IgTCBcDaIJoEMDmBTA9gAgLIDEBKAtGAKw4BCOxYBAjAAx14gC6AvkA</t>
  </si>
  <si>
    <t>MM3Z5V6C</t>
  </si>
  <si>
    <t>DIODE</t>
  </si>
  <si>
    <t>https://www.digikey.com/en/products/detail/onsemi/MM3Z5V6C/1626786?s=N4IgTCBcDaIPYDsDOBTAtgSwAQFkcGYAtAVgDUA2AYRAF0BfIA</t>
  </si>
  <si>
    <t>MFR-25FBF52-1M</t>
  </si>
  <si>
    <t>https://www.digikey.com/en/products/detail/yageo/MFR-25FBF52-1M/13714</t>
  </si>
  <si>
    <t>NCP21XV103J03RA</t>
  </si>
  <si>
    <t xml:space="preserve">thermistor </t>
  </si>
  <si>
    <t>https://www.digikey.com/en/products/detail/murata-electronics/NCP21XV103J03RA/588477?s=N4IgTCBcDaILIFcBOBDALigBAOQMIAUwBGADQDUiAGAZgCkaAlAQRAF0BfIA</t>
  </si>
  <si>
    <t>MRS25000C1002FCT00</t>
  </si>
  <si>
    <t>https://www.digikey.com/en/products/detail/vishay-beyschlag-draloric-bc-components/MRS25000C1002FCT00/5063978?s=N4IgTCBcDaIGoEsDOALAhgTwAQFkBKAymAKwAM5AwgIzlgBiFAKuSALoC%2BQA</t>
  </si>
  <si>
    <t>RC0805JR-0720ML</t>
  </si>
  <si>
    <t>https://www.digikey.com/en/products/detail/yageo/RC0805JR-0720ML/5919059?s=N4IgTCBcDaIEoGEAMAOJBWAUnAtEg7GEgLIAyIAugL5A</t>
  </si>
  <si>
    <t>PR01000101009JR500</t>
  </si>
  <si>
    <t>https://www.digikey.com/en/products/detail/vishay-beyschlag-draloric-bc-components/PR01000101009JR500/595972?s=N4IgTCBcDaIGoEsDOALAhgTwAQAUBKADAIwGkkkECcAUngKykgC6AvkA</t>
  </si>
  <si>
    <t>MFR-12FTF52-5K1</t>
  </si>
  <si>
    <t>https://www.digikey.com/en/products/detail/yageo/MFR-12FTF52-5K1/9134244</t>
  </si>
  <si>
    <t>https://www.digikey.com/en/products/detail/w%C3%BCrth-elektronik/691137710002/6644051?s=N4IgTCBcDaIGwE4CMSDMB2dSAMuIF0BfIA</t>
  </si>
  <si>
    <t>0685T5000-01</t>
  </si>
  <si>
    <t>fuse</t>
  </si>
  <si>
    <t>https://www.digikey.com/en/products/detail/bel-fuse-inc/0685T5000-01/5466711?s=N4IgTCBcDaIAwDYAcBWAKiuWC0cCMIAugL5A</t>
  </si>
  <si>
    <t>CSD16412Q5A</t>
  </si>
  <si>
    <t xml:space="preserve">NMOS </t>
  </si>
  <si>
    <t>https://www.digikey.com/en/products/detail/texas-instruments/CSD16412Q5A/2038311?s=N4IgTCBcDaIMIGUAiBGAbAFhWAigVgEEQBdAXyA</t>
  </si>
  <si>
    <t>2N7002K-7</t>
  </si>
  <si>
    <t>https://www.digikey.com/en/products/detail/diodes-incorporated/2N7002K-7/1934378?s=N4IgTCBcDaICIEsD2ATApgZwAQEkB2AxgHRZgByA7AAxVgDSAtBSALoC%2BQA</t>
  </si>
  <si>
    <t>KGM21NR71H104KT</t>
  </si>
  <si>
    <t>capacitor</t>
  </si>
  <si>
    <t>https://www.digikey.com/en/products/detail/kyocera-avx/KGM21NR71H104KT/563505?s=N4IgTCBcDaIIIDUAaACADADjQVmwYQEY0AWAaTgBUw4QBdAXyA</t>
  </si>
  <si>
    <t>0805ZD225KAT2A</t>
  </si>
  <si>
    <t>https://www.digikey.com/en/products/detail/kyocera-avx/0805ZD225KAT2A/563523?s=N4IgTCBcDaIIIDUAaACADADjQVgFoBEwxsBpOAFTDhAF0BfIA</t>
  </si>
  <si>
    <t>ERJ-8BWFR010V</t>
  </si>
  <si>
    <t>sense resistor</t>
  </si>
  <si>
    <t>https://www.mouser.com/ProductDetail/Panasonic/ERJ-8BWFR010V?qs=KH2o3k57UShEa4%252B9X5Zg1Q%3D%3D</t>
  </si>
  <si>
    <t>Order Date</t>
  </si>
  <si>
    <t>Item Name</t>
  </si>
  <si>
    <t>Laction to Buy From</t>
  </si>
  <si>
    <t>Cost per Quanity</t>
  </si>
  <si>
    <t>Quanity</t>
  </si>
  <si>
    <t>Total Cost</t>
  </si>
  <si>
    <t>MMSZ4692T1G</t>
  </si>
  <si>
    <t>Zenner Diode</t>
  </si>
  <si>
    <r>
      <rPr>
        <rFont val="Arial"/>
        <color rgb="FF0563C1"/>
        <sz val="11.0"/>
        <u/>
      </rPr>
      <t>https://www.digikey.com/en/products/detail/onsemi/MMSZ4692T1G/1749039</t>
    </r>
  </si>
  <si>
    <t>dont need</t>
  </si>
  <si>
    <t>B240A-13-F</t>
  </si>
  <si>
    <t>Schottky Diode</t>
  </si>
  <si>
    <r>
      <rPr>
        <rFont val="Arial"/>
        <color rgb="FF0563C1"/>
        <sz val="11.0"/>
        <u/>
      </rPr>
      <t>https://www.digikey.com/en/products/detail/diodes-incorporated/B240A-13-F/717691</t>
    </r>
  </si>
  <si>
    <t>My new parts needed</t>
  </si>
  <si>
    <t>CC0603KRX7R7BB105</t>
  </si>
  <si>
    <t>Capacitor (1 uF)</t>
  </si>
  <si>
    <r>
      <rPr>
        <rFont val="Arial"/>
        <color rgb="FF0563C1"/>
        <sz val="11.0"/>
        <u/>
      </rPr>
      <t>https://www.digikey.com/en/products/detail/yageo/CC0603KRX7R7BB105/2833611</t>
    </r>
  </si>
  <si>
    <t>GRM1885C1H272JA01D</t>
  </si>
  <si>
    <t>Capacitor (2.7 nF)</t>
  </si>
  <si>
    <r>
      <rPr>
        <rFont val="Arial"/>
        <color rgb="FF0563C1"/>
        <sz val="11.0"/>
        <u/>
      </rPr>
      <t>https://www.digikey.com/en/products/detail/murata-electronics/GRM1885C1H272JA01D/702547</t>
    </r>
  </si>
  <si>
    <t>yes</t>
  </si>
  <si>
    <t>https://www.mouser.com/ProductDetail/Murata-Electronics/GRM1885C1H272JA01D?qs=%2FEhSLMV8HUQlL5ZggNQk6g%3D%3D</t>
  </si>
  <si>
    <t>GRM2195C1H752JA01D</t>
  </si>
  <si>
    <t>Capacitor (7.5 nF)</t>
  </si>
  <si>
    <r>
      <rPr>
        <rFont val="Arial"/>
        <color rgb="FF0563C1"/>
        <sz val="11.0"/>
        <u/>
      </rPr>
      <t>https://www.digikey.com/en/products/detail/murata-electronics/GRM2195C1H752JA01D/586782</t>
    </r>
  </si>
  <si>
    <t>https://www.mouser.com/ProductDetail/Murata-Electronics/GRM2195C1H752JA01D?qs=3Vu9ppaVHS6q11SGVh%2FV8g%3D%3D</t>
  </si>
  <si>
    <t>ERJ-6GEYJ474V</t>
  </si>
  <si>
    <t>Resistor (470k)</t>
  </si>
  <si>
    <t>https://www.digikey.com/en/products/detail/panasonic-electronic-components/ERJ-6GEYJ474V/83142</t>
  </si>
  <si>
    <t>https://www.mouser.com/ProductDetail/Panasonic/ERJ-6GEYJ474V?qs=YMBIwoNQYdUCy4oWeQgeIw%3D%3D</t>
  </si>
  <si>
    <t>RC0805FR-07100KL</t>
  </si>
  <si>
    <t>Resistor (100k)</t>
  </si>
  <si>
    <t>https://www.digikey.com/en/products/detail/yageo/RC0805FR-07100KL/727544</t>
  </si>
  <si>
    <t>https://www.mouser.com/ProductDetail/YAGEO/RC0805FR-07100KL?qs=8Y8p%252BasKcI7rEWn6FcVdAA%3D%3D</t>
  </si>
  <si>
    <t>RC0603FR-0747KL</t>
  </si>
  <si>
    <t>Resistor (47k)</t>
  </si>
  <si>
    <r>
      <rPr>
        <rFont val="Arial"/>
        <color rgb="FF0563C1"/>
        <sz val="11.0"/>
        <u/>
      </rPr>
      <t>https://www.digikey.com/en/products/detail/yageo/RC0603FR-0747KL/727253</t>
    </r>
  </si>
  <si>
    <t>https://www.mouser.com/ProductDetail/YAGEO/RC0603FR-0747KL?qs=gt6vzsuosg3jXzmCiDCCdg%3D%3D&amp;srsltid=AfmBOooYeC23CRLGSbj5lKyNDiC_8jEuDBdDLycE768HJIm9Lj2CTmkG</t>
  </si>
  <si>
    <t>RC0805FR-0720K5L</t>
  </si>
  <si>
    <t>Resistor (20.5k)</t>
  </si>
  <si>
    <t>https://www.digikey.com/en/products/detail/yageo/RC0805FR-0720K5L/727722</t>
  </si>
  <si>
    <t>https://www.mouser.com/ProductDetail/YAGEO/RC0805FR-0720K5L?qs=QrWOOBGzeCZ%252BXTGCLt8vFg%3D%3D</t>
  </si>
  <si>
    <t>CRCW0805866RFKEA</t>
  </si>
  <si>
    <t>Resistor (866)</t>
  </si>
  <si>
    <t>https://www.digikey.com/en/products/detail/vishay-dale/CRCW0805866RFKEA/1175630</t>
  </si>
  <si>
    <t>https://www.mouser.com/ProductDetail/Vishay-Dale/CRCW0805866RFKEA?qs=gFq8Ja42mL5y9BwvIQrGGg%3D%3D</t>
  </si>
  <si>
    <t>CSRT0603FT5R00</t>
  </si>
  <si>
    <t>Resistor (5)</t>
  </si>
  <si>
    <r>
      <rPr>
        <rFont val="Arial"/>
        <color rgb="FF0563C1"/>
        <sz val="11.0"/>
        <u/>
      </rPr>
      <t>https://www.digikey.com/en/products/detail/stackpole-electronics-inc/CSRT0603FT5R00/16204542</t>
    </r>
  </si>
  <si>
    <t>Dont need</t>
  </si>
  <si>
    <t>RMCF1210JT10K0</t>
  </si>
  <si>
    <t>Resistor (10k)</t>
  </si>
  <si>
    <t>https://www.digikey.com/en/products/detail/stackpole-electronics-inc/RMCF1210JT10K0/1757294</t>
  </si>
  <si>
    <t>https://www.mouser.com/ProductDetail/SEI-Stackpole/RMCF1210JT10K0?qs=IPgv5n7u5QZextIiufaxPA%3D%3D</t>
  </si>
  <si>
    <t>8 pin Header Pins</t>
  </si>
  <si>
    <t>no</t>
  </si>
  <si>
    <t>282836-2</t>
  </si>
  <si>
    <t>2 Pin Terminal Block</t>
  </si>
  <si>
    <r>
      <rPr>
        <rFont val="Arial"/>
        <color rgb="FF0563C1"/>
        <sz val="11.0"/>
        <u/>
      </rPr>
      <t>https://www.digikey.com/en/products/detail/te-connectivity-amp-connectors/282836-2/1826939</t>
    </r>
  </si>
  <si>
    <t>https://www.mouser.com/ProductDetail/TE-Connectivity/282836-2?qs=A%252Bip%252BNCYi6Ohx9vaQ1l4dg%3D%3D</t>
  </si>
  <si>
    <t>TPS259460ARPWR</t>
  </si>
  <si>
    <t>TI eFuse</t>
  </si>
  <si>
    <r>
      <rPr>
        <rFont val="Arial"/>
        <color rgb="FF0563C1"/>
        <sz val="11.0"/>
        <u/>
      </rPr>
      <t>https://www.ti.com/product/EN-US/TPS25946/part-details/TPS259460ARPWR</t>
    </r>
  </si>
  <si>
    <t>have 7</t>
  </si>
  <si>
    <t>https://www.mouser.com/ProductDetail/595-TPS259460ARPWR</t>
  </si>
  <si>
    <t>TMUX1248DCKR</t>
  </si>
  <si>
    <t>TI MUX</t>
  </si>
  <si>
    <r>
      <rPr>
        <rFont val="Arial"/>
        <color rgb="FF0563C1"/>
        <sz val="11.0"/>
        <u/>
      </rPr>
      <t>https://www.ti.com/product/EN-US/TMUX1248/part-details/TMUX1248DCKR</t>
    </r>
  </si>
  <si>
    <t>https://www.mouser.com/ProductDetail/Texas-Instruments/TMUX1248DCKR?qs=QNEnbhJQKvba99NaGQ0qVA%3D%3D</t>
  </si>
  <si>
    <t>1772-1229-ND</t>
  </si>
  <si>
    <t>Standoffs</t>
  </si>
  <si>
    <t>https://www.digikey.com/en/products/detail/raf-electronic-hardware/2100-632-AL/7680640</t>
  </si>
  <si>
    <t>Component Type</t>
  </si>
  <si>
    <t>Quantity</t>
  </si>
  <si>
    <t>Link to the prooduct</t>
  </si>
  <si>
    <t>Total Price</t>
  </si>
  <si>
    <t>Total for Order</t>
  </si>
  <si>
    <t>USB4125-GF-A-0190</t>
  </si>
  <si>
    <t>USB C Port</t>
  </si>
  <si>
    <t>https://www.digikey.com/en/products/detail/gct/USB4125-GF-A-0190/14559040?utm_adgroup=&amp;utm_source=google&amp;utm_medium=cpc&amp;utm_campaign=Pmax_Shopping_DK%2B%20Supplier_ITECH&amp;utm_term=&amp;utm_content=&amp;utm_id=go_cmp-21147141757_adg-_ad-__dev-c_ext-_prd-14559040_sig-CjwKCAjwjsi4BhB5EiwAFAL0YGeTPppV3aoI_LTHoDc6-FrNgYDMB5zcRGbktNgPAttdEFNmas6nGRoCa-wQAvD_BwE&amp;gad_source=1&amp;gclid=CjwKCAjwjsi4BhB5EiwAFAL0YGeTPppV3aoI_LTHoDc6-FrNgYDMB5zcRGbktNgPAttdEFNmas6nGRoCa-wQAvD_BwE</t>
  </si>
  <si>
    <t>3 (1)</t>
  </si>
  <si>
    <t>FSMSM</t>
  </si>
  <si>
    <t>Push Button</t>
  </si>
  <si>
    <t>https://www.digikey.com/en/products/detail/te-connectivity-alcoswitch-switches/FSMSM/525812</t>
  </si>
  <si>
    <t>3 (2)</t>
  </si>
  <si>
    <t>RG2012P-204-B-T5</t>
  </si>
  <si>
    <t>Resistor</t>
  </si>
  <si>
    <t>https://www.digikey.com/en/products/detail/susumu/RG2012P-204-B-T5/1212680</t>
  </si>
  <si>
    <t>10 (2)</t>
  </si>
  <si>
    <t>RT1206BRE07900KL</t>
  </si>
  <si>
    <t>https://www.digikey.com/en/products/detail/yageo/RT1206BRE07900KL/5936985</t>
  </si>
  <si>
    <t>10 (1)</t>
  </si>
  <si>
    <t>GRMJN65C1H104GE01J</t>
  </si>
  <si>
    <t>Capacitor</t>
  </si>
  <si>
    <t>https://www.digikey.com/en/products/detail/murata-electronics/GRMJN65C1H104GE01J/19115548</t>
  </si>
  <si>
    <t>CC0805JKX7R9BB105</t>
  </si>
  <si>
    <t>https://www.digikey.com/en/products/detail/yageo/CC0805JKX7R9BB105/7164382</t>
  </si>
  <si>
    <t>Pin Header (3)</t>
  </si>
  <si>
    <t>https://www.digikey.com/en/products/detail/w%C3%BCrth-elektronik/61300311121/4846825?s=N4IgTCBcDaIGwEYDMAGFSGbAkBdAvkA</t>
  </si>
  <si>
    <t>10 (3)</t>
  </si>
  <si>
    <t>Pin Header (12)</t>
  </si>
  <si>
    <t>https://www.digikey.com/en/products/detail/w%C3%BCrth-elektronik/61001221121/4846969?s=N4IgTCBcDaIGwEYAMSFjAtCQF0C%2BQA</t>
  </si>
  <si>
    <t>1 (1)</t>
  </si>
  <si>
    <t>Pin Header (10)</t>
  </si>
  <si>
    <t>https://www.digikey.com/en/products/detail/w%C3%BCrth-elektronik/61001021121/4846968?s=N4IgTCBcDaIGwEYAMTlgQ9IC6BfIA</t>
  </si>
  <si>
    <t>Pin Header (14)</t>
  </si>
  <si>
    <t>https://www.digikey.com/en/products/detail/w%C3%BCrth-elektronik/61301421121/4846851?s=N4IgTCBcDaIGwEYDMAGBAWMCFZAXQF8g</t>
  </si>
  <si>
    <t>2 (2)</t>
  </si>
  <si>
    <t>Pin Header (6)</t>
  </si>
  <si>
    <t>https://www.digikey.com/en/products/detail/w%C3%BCrth-elektronik/61000621121/4846966?s=N4IgTCBcDaIGwEYAMK5gQ9IC6BfIA</t>
  </si>
  <si>
    <t>LTW-420D7</t>
  </si>
  <si>
    <t>LED (TH)</t>
  </si>
  <si>
    <t>https://www.digikey.com/en/products/detail/liteon/LTW-420D7/1835514</t>
  </si>
  <si>
    <t>10 (5)</t>
  </si>
  <si>
    <t>ERA-6AEB271V</t>
  </si>
  <si>
    <t>https://www.digikey.com/en/products/detail/panasonic-electronic-components/ERA-6AEB271V/1465734</t>
  </si>
  <si>
    <t>ERA-6AEB331V</t>
  </si>
  <si>
    <t>https://www.digikey.com/en/products/detail/panasonic-electronic-components/ERA-6AEB331V/1465736</t>
  </si>
  <si>
    <t>ERA-6AEB472V</t>
  </si>
  <si>
    <t>https://www.digikey.com/en/products/detail/panasonic-electronic-components/ERA-6AEB472V/1465765</t>
  </si>
  <si>
    <t>10 (4)</t>
  </si>
  <si>
    <t>ERA-6AEB222V</t>
  </si>
  <si>
    <t>https://www.digikey.com/en/products/detail/panasonic-electronic-components/ERA-6AEB222V/1465757</t>
  </si>
  <si>
    <t>ERA-6AEB473V</t>
  </si>
  <si>
    <t>https://www.digikey.com/en/products/detail/panasonic-electronic-components/ERA-6AEB473V/1465789</t>
  </si>
  <si>
    <t>C0805C106J8RACAUTO</t>
  </si>
  <si>
    <t>https://www.digikey.com/en/products/detail/kemet/C0805C106J8RACAUTO/7427523</t>
  </si>
  <si>
    <t>C0603C103J5RACTU</t>
  </si>
  <si>
    <t>https://www.digikey.com/en/products/detail/kemet/C0603C103J5RACTU/411091</t>
  </si>
  <si>
    <t>-might be small</t>
  </si>
  <si>
    <t>C0603C474J4RAC7867</t>
  </si>
  <si>
    <t>https://www.digikey.com/en/products/detail/kemet/C0603C474J4RAC7867/3316992</t>
  </si>
  <si>
    <t>- might be small</t>
  </si>
  <si>
    <t>TUSB320IRWBR</t>
  </si>
  <si>
    <t>IC - USBC Port Ctrl</t>
  </si>
  <si>
    <t>https://www.digikey.com/en/products/detail/texas-instruments/TUSB320IRWBR/5297639?s=N4IgTCBcDaICoFUDKAhAzGADASQEoHUVcQBdAXyA</t>
  </si>
  <si>
    <r>
      <rPr>
        <rFont val="Arial"/>
        <color rgb="FF0563C1"/>
        <sz val="11.0"/>
        <u/>
      </rPr>
      <t>https://www.digikey.com/en/products/detail/onsemi/MMSZ4692T1G/1749039</t>
    </r>
  </si>
  <si>
    <r>
      <rPr>
        <rFont val="Arial"/>
        <color rgb="FF0563C1"/>
        <sz val="11.0"/>
        <u/>
      </rPr>
      <t>https://www.digikey.com/en/products/detail/diodes-incorporated/B240A-13-F/717691</t>
    </r>
  </si>
  <si>
    <r>
      <rPr>
        <rFont val="Arial"/>
        <color rgb="FF0563C1"/>
        <sz val="11.0"/>
        <u/>
      </rPr>
      <t>https://www.digikey.com/en/products/detail/yageo/CC0603KRX7R7BB105/2833611</t>
    </r>
  </si>
  <si>
    <r>
      <rPr>
        <rFont val="Arial"/>
        <color rgb="FF0563C1"/>
        <sz val="11.0"/>
        <u/>
      </rPr>
      <t>https://www.digikey.com/en/products/detail/murata-electronics/GRM1885C1H272JA01D/702547</t>
    </r>
  </si>
  <si>
    <r>
      <rPr>
        <rFont val="Arial"/>
        <color rgb="FF0563C1"/>
        <sz val="11.0"/>
        <u/>
      </rPr>
      <t>https://www.digikey.com/en/products/detail/murata-electronics/GRM2195C1H752JA01D/586782</t>
    </r>
  </si>
  <si>
    <t>RC0805FR-0782K5L</t>
  </si>
  <si>
    <t>Resistor (82.5k)</t>
  </si>
  <si>
    <t>https://www.digikey.com/en/products/detail/yageo/RC0805FR-0782K5L/728167</t>
  </si>
  <si>
    <r>
      <rPr>
        <rFont val="Arial"/>
        <color rgb="FF0563C1"/>
        <sz val="11.0"/>
        <u/>
      </rPr>
      <t>https://www.digikey.com/en/products/detail/yageo/RC0603FR-0747KL/727253</t>
    </r>
  </si>
  <si>
    <r>
      <rPr>
        <rFont val="Arial"/>
        <color rgb="FF0563C1"/>
        <sz val="11.0"/>
        <u/>
      </rPr>
      <t>https://www.digikey.com/en/products/detail/stackpole-electronics-inc/CSRT0603FT5R00/16204542</t>
    </r>
  </si>
  <si>
    <r>
      <rPr>
        <rFont val="Arial"/>
        <color rgb="FF0563C1"/>
        <sz val="11.0"/>
        <u/>
      </rPr>
      <t>https://www.digikey.com/en/products/detail/te-connectivity-amp-connectors/282836-2/1826939</t>
    </r>
  </si>
  <si>
    <t>https://www.mouser.com/ProductDetail/Texas-Instruments/TPS259460ARPWR?qs=TuK3vfAjtkWfsNpxJPS8Ng%3D%3D</t>
  </si>
  <si>
    <t>LED</t>
  </si>
  <si>
    <t>8 pin header</t>
  </si>
  <si>
    <t>3 pin terminal block</t>
  </si>
  <si>
    <t>2 pin header</t>
  </si>
  <si>
    <t>Power Inudctor</t>
  </si>
  <si>
    <t>Test Point</t>
  </si>
  <si>
    <t>TI Battery Charger</t>
  </si>
  <si>
    <t>2 pin Shunt Connector</t>
  </si>
  <si>
    <t>B320A-13-F</t>
  </si>
  <si>
    <t>Diode</t>
  </si>
  <si>
    <t>https://www.digikey.com/en/products/detail/diodes-incorporated/B320A-13-F/717692</t>
  </si>
  <si>
    <t>MMSZ4702T1G</t>
  </si>
  <si>
    <t>https://www.digikey.com/en/products/detail/onsemi/MMSZ4702T1G/919735</t>
  </si>
  <si>
    <t>PART NAME</t>
  </si>
  <si>
    <t>DESC</t>
  </si>
  <si>
    <t>LINK</t>
  </si>
  <si>
    <t>QTY</t>
  </si>
  <si>
    <t>COST EACH</t>
  </si>
  <si>
    <t>COST TOTAL</t>
  </si>
  <si>
    <t>notes</t>
  </si>
  <si>
    <t xml:space="preserve">Patrick </t>
  </si>
  <si>
    <t>CRCW0402100RFKEDC</t>
  </si>
  <si>
    <t xml:space="preserve">100ohm smd </t>
  </si>
  <si>
    <t>https://www.mouser.com/ProductDetail/Vishay-Dale/CRCW0402100RFKEDC?qs=E3Y5ESvWgWO1aKOdrdIvbA%3D%3D</t>
  </si>
  <si>
    <t>08055C104KAT2A</t>
  </si>
  <si>
    <t xml:space="preserve">0.1u smd </t>
  </si>
  <si>
    <t>https://www.mouser.com/ProductDetail/KYOCERA-AVX/08055C104KAT2A?qs=2ujN4bDBNE9mJvapP%252BjopA%3D%3D</t>
  </si>
  <si>
    <t>zener diode</t>
  </si>
  <si>
    <t>https://www.mouser.com/ProductDetail/onsemi-Fairchild/MM3Z5V6C?qs=rXqtSHp76q6mZxise9dftg%3D%3D</t>
  </si>
  <si>
    <t xml:space="preserve">when soldering, side with slant is positive side </t>
  </si>
  <si>
    <t>RC0603FR-0710KL</t>
  </si>
  <si>
    <t>10k smd</t>
  </si>
  <si>
    <t>https://www.mouser.com/ProductDetail/YAGEO/RC0603FR-0710KL?qs=grNVn54RoB%252B3GtjbJj3wJQ%3D%3D</t>
  </si>
  <si>
    <t>RC0402FR-0710RL</t>
  </si>
  <si>
    <t>10 ohm smd</t>
  </si>
  <si>
    <t>https://www.mouser.com/ProductDetail/YAGEO/RC0402FR-0710RL?qs=sGAEpiMZZMukHu%252BjC5l7YchWVhsWyAy27GYPTuU2zBU%3D</t>
  </si>
  <si>
    <t>RC0402FR-075K1L</t>
  </si>
  <si>
    <t>5.1k smd</t>
  </si>
  <si>
    <t>https://www.mouser.com/ProductDetail/YAGEO/RC0402FR-075K1L?qs=YUgVZYePFqCSmQuaha43RA%3D%3D</t>
  </si>
  <si>
    <t>RR1220Q-100-D</t>
  </si>
  <si>
    <t xml:space="preserve">10 ohm smd </t>
  </si>
  <si>
    <t>https://www.mouser.com/ProductDetail/Susumu/RR1220Q-100-D?qs=U7dmUkNviFtO6MBkyiGCwQ%3D%3D</t>
  </si>
  <si>
    <t>CRCW040210M0FKED</t>
  </si>
  <si>
    <t>10M smd</t>
  </si>
  <si>
    <t>https://www.mouser.com/ProductDetail/Vishay-Dale/CRCW040210M0FKED?qs=DDCJs2%252BWWG1ECyUd3oQXVw%3D%3D</t>
  </si>
  <si>
    <t>Cole</t>
  </si>
  <si>
    <t>CRCW040210k0FKEDHP</t>
  </si>
  <si>
    <t>https://www.mouser.com/ProductDetail/Vishay-Dale/CRCW040210K0FKEDHP?qs=FlFvgi4rxBxmIiaeyFjrkA%3D%3D</t>
  </si>
  <si>
    <t>CONN HEADER</t>
  </si>
  <si>
    <t>https://www.digikey.com/en/products/detail/sullins-connector-solutions/PEC02SAAN/859155?s=N4IgTCBcDaIA4FMDGAGMBnAhpgdiAugL5A</t>
  </si>
  <si>
    <t>Jaein</t>
  </si>
  <si>
    <t>MSPM0G3507SPMR</t>
  </si>
  <si>
    <t>MCU</t>
  </si>
  <si>
    <t>https://www.mouser.com/ProductDetail/Texas-Instruments/MSPM0G3507SPMR?qs=ST9lo4GX8V0tukxOtqK%252B6A%3D%3D</t>
  </si>
  <si>
    <t>BSS138LT1G</t>
  </si>
  <si>
    <t>N MOSFET</t>
  </si>
  <si>
    <t>https://www.mouser.com/ProductDetail/onsemi/BSS138LT1G?qs=vNc2DXHODiKPZ2y3rQhTYQ%3D%3D</t>
  </si>
  <si>
    <t>CL32A157MQVNNNE</t>
  </si>
  <si>
    <t>buk cap</t>
  </si>
  <si>
    <t>https://www.mouser.com/ProductDetail/Samsung-Electro-Mechanics/CL32A157MQVNNNE?qs=o1waKiAPAqeOsXqB2m5tpw%3D%3D</t>
  </si>
  <si>
    <t>MMSD914T1G</t>
  </si>
  <si>
    <t>diode</t>
  </si>
  <si>
    <t>https://www.mouser.com/ProductDetail/onsemi/MMSD914T1G?qs=P4IOph%252Bbot8PMEQIZWg1LQ%3D%3D</t>
  </si>
  <si>
    <t>GRPB081VWVN-RC</t>
  </si>
  <si>
    <t>pin header (8)</t>
  </si>
  <si>
    <t>https://www.digikey.com/en/products/detail/sullins-connector-solutions/GRPB081VWVN-RC/1786444</t>
  </si>
  <si>
    <t>TUSB320 (USB C port ctrl)</t>
  </si>
  <si>
    <t>https://www.digikey.com/en/products/detail/texas-instruments/TUSB320IRWBR/5297639</t>
  </si>
  <si>
    <t>pin header (6)</t>
  </si>
  <si>
    <t>pin header (10)</t>
  </si>
  <si>
    <t>pin header (12)</t>
  </si>
  <si>
    <t xml:space="preserve">Camden </t>
  </si>
  <si>
    <t>PART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</si>
</sst>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.00_);[Red]\(&quot;$&quot;#,##0.00\)"/>
    <numFmt numFmtId="166" formatCode="&quot;$&quot;#,##0_);[Red]\(&quot;$&quot;#,##0\)"/>
    <numFmt numFmtId="167" formatCode="m/d/yy"/>
  </numFmts>
  <fonts count="29">
    <font>
      <sz val="11.0"/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sz val="9.0"/>
      <color rgb="FF222222"/>
      <name val="Roboto"/>
    </font>
    <font>
      <color theme="1"/>
      <name val="Aptos Narrow"/>
      <scheme val="minor"/>
    </font>
    <font>
      <sz val="11.0"/>
      <color rgb="FF222222"/>
      <name val="Arial"/>
    </font>
    <font>
      <sz val="11.0"/>
      <color rgb="FF333333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sz val="11.0"/>
      <color rgb="FF000000"/>
      <name val="Arial"/>
    </font>
    <font>
      <sz val="11.0"/>
      <color rgb="FF000000"/>
      <name val="Calibri"/>
    </font>
    <font>
      <u/>
      <sz val="11.0"/>
      <color rgb="FF0000FF"/>
      <name val="Arial"/>
    </font>
    <font>
      <u/>
      <sz val="11.0"/>
      <color rgb="FF467886"/>
      <name val="Arial"/>
    </font>
    <font>
      <u/>
      <sz val="11.0"/>
      <color rgb="FF0000FF"/>
      <name val="Arial"/>
    </font>
    <font>
      <u/>
      <color rgb="FF0000FF"/>
    </font>
    <font>
      <color rgb="FFFFFFFF"/>
      <name val="Arial"/>
    </font>
    <font>
      <u/>
      <color rgb="FF467886"/>
      <name val="Arial"/>
    </font>
    <font>
      <u/>
      <color rgb="FF467886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467886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00"/>
    </font>
    <font>
      <color rgb="FF333333"/>
      <name val="Arial"/>
    </font>
    <font>
      <sz val="11.0"/>
      <color rgb="FF000000"/>
      <name val="&quot;Aptos Narrow&quot;"/>
    </font>
    <font>
      <u/>
      <color rgb="FF467886"/>
      <name val="Arial"/>
    </font>
    <font>
      <b/>
      <sz val="9.0"/>
      <color rgb="FF222222"/>
      <name val="Roboto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quotePrefix="1" borderId="1" fillId="2" fontId="1" numFmtId="0" xfId="0" applyBorder="1" applyFill="1" applyFont="1"/>
    <xf borderId="0" fillId="3" fontId="3" numFmtId="165" xfId="0" applyAlignment="1" applyFill="1" applyFont="1" applyNumberFormat="1">
      <alignment horizontal="right" readingOrder="0" shrinkToFit="0" wrapText="0"/>
    </xf>
    <xf borderId="0" fillId="0" fontId="4" numFmtId="164" xfId="0" applyFont="1" applyNumberFormat="1"/>
    <xf borderId="1" fillId="0" fontId="5" numFmtId="165" xfId="0" applyAlignment="1" applyBorder="1" applyFont="1" applyNumberFormat="1">
      <alignment readingOrder="0"/>
    </xf>
    <xf borderId="1" fillId="3" fontId="5" numFmtId="165" xfId="0" applyAlignment="1" applyBorder="1" applyFont="1" applyNumberFormat="1">
      <alignment horizontal="left" readingOrder="0" vertical="center"/>
    </xf>
    <xf borderId="1" fillId="0" fontId="6" numFmtId="165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1" fillId="0" fontId="1" numFmtId="0" xfId="0" applyBorder="1" applyFont="1"/>
    <xf quotePrefix="1" borderId="1" fillId="0" fontId="1" numFmtId="0" xfId="0" applyBorder="1" applyFont="1"/>
    <xf borderId="1" fillId="0" fontId="5" numFmtId="165" xfId="0" applyBorder="1" applyFont="1" applyNumberFormat="1"/>
    <xf borderId="1" fillId="0" fontId="1" numFmtId="165" xfId="0" applyAlignment="1" applyBorder="1" applyFont="1" applyNumberFormat="1">
      <alignment readingOrder="0"/>
    </xf>
    <xf borderId="1" fillId="3" fontId="5" numFmtId="165" xfId="0" applyAlignment="1" applyBorder="1" applyFont="1" applyNumberFormat="1">
      <alignment horizontal="left" vertical="center"/>
    </xf>
    <xf borderId="1" fillId="4" fontId="1" numFmtId="0" xfId="0" applyBorder="1" applyFill="1" applyFont="1"/>
    <xf borderId="1" fillId="4" fontId="8" numFmtId="0" xfId="0" applyAlignment="1" applyBorder="1" applyFont="1">
      <alignment readingOrder="0"/>
    </xf>
    <xf borderId="1" fillId="4" fontId="1" numFmtId="166" xfId="0" applyBorder="1" applyFont="1" applyNumberFormat="1"/>
    <xf borderId="0" fillId="4" fontId="4" numFmtId="164" xfId="0" applyFont="1" applyNumberFormat="1"/>
    <xf borderId="0" fillId="0" fontId="2" numFmtId="0" xfId="0" applyAlignment="1" applyFont="1">
      <alignment readingOrder="0"/>
    </xf>
    <xf borderId="1" fillId="2" fontId="1" numFmtId="0" xfId="0" applyBorder="1" applyFont="1"/>
    <xf borderId="0" fillId="0" fontId="4" numFmtId="165" xfId="0" applyFont="1" applyNumberFormat="1"/>
    <xf borderId="0" fillId="0" fontId="4" numFmtId="0" xfId="0" applyFont="1"/>
    <xf borderId="0" fillId="0" fontId="4" numFmtId="0" xfId="0" applyFont="1"/>
    <xf borderId="0" fillId="2" fontId="4" numFmtId="0" xfId="0" applyFont="1"/>
    <xf borderId="0" fillId="0" fontId="4" numFmtId="164" xfId="0" applyFont="1" applyNumberFormat="1"/>
    <xf borderId="0" fillId="0" fontId="9" numFmtId="0" xfId="0" applyFont="1"/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0" numFmtId="167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15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2" fillId="2" fontId="4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17" numFmtId="0" xfId="0" applyAlignment="1" applyBorder="1" applyFont="1">
      <alignment readingOrder="0"/>
    </xf>
    <xf borderId="4" fillId="3" fontId="3" numFmtId="164" xfId="0" applyAlignment="1" applyBorder="1" applyFont="1" applyNumberFormat="1">
      <alignment horizontal="right" readingOrder="0" shrinkToFit="0" wrapText="0"/>
    </xf>
    <xf borderId="0" fillId="3" fontId="3" numFmtId="164" xfId="0" applyAlignment="1" applyFont="1" applyNumberFormat="1">
      <alignment horizontal="right" readingOrder="0" shrinkToFit="0" wrapText="0"/>
    </xf>
    <xf borderId="5" fillId="2" fontId="4" numFmtId="0" xfId="0" applyAlignment="1" applyBorder="1" applyFont="1">
      <alignment readingOrder="0"/>
    </xf>
    <xf borderId="6" fillId="3" fontId="3" numFmtId="164" xfId="0" applyAlignment="1" applyBorder="1" applyFont="1" applyNumberFormat="1">
      <alignment horizontal="right" readingOrder="0" shrinkToFit="0" wrapText="0"/>
    </xf>
    <xf borderId="5" fillId="2" fontId="2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7" fillId="2" fontId="4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9" fillId="3" fontId="3" numFmtId="164" xfId="0" applyAlignment="1" applyBorder="1" applyFont="1" applyNumberFormat="1">
      <alignment horizontal="right" readingOrder="0" shrinkToFit="0" wrapText="0"/>
    </xf>
    <xf borderId="1" fillId="0" fontId="4" numFmtId="164" xfId="0" applyBorder="1" applyFont="1" applyNumberFormat="1"/>
    <xf borderId="0" fillId="0" fontId="1" numFmtId="0" xfId="0" applyFont="1"/>
    <xf borderId="0" fillId="0" fontId="10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1" numFmtId="0" xfId="0" applyAlignment="1" applyFont="1">
      <alignment horizontal="left" readingOrder="0" shrinkToFit="0" vertical="bottom" wrapText="0"/>
    </xf>
    <xf borderId="0" fillId="4" fontId="10" numFmtId="0" xfId="0" applyAlignment="1" applyFont="1">
      <alignment horizontal="left" readingOrder="0" shrinkToFit="0" vertical="bottom" wrapText="0"/>
    </xf>
    <xf quotePrefix="1"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3" fontId="5" numFmtId="165" xfId="0" applyAlignment="1" applyFont="1" applyNumberFormat="1">
      <alignment horizontal="right" readingOrder="0" shrinkToFit="0" wrapText="0"/>
    </xf>
    <xf borderId="0" fillId="0" fontId="22" numFmtId="0" xfId="0" applyAlignment="1" applyFont="1">
      <alignment horizontal="left" readingOrder="0"/>
    </xf>
    <xf borderId="0" fillId="0" fontId="5" numFmtId="165" xfId="0" applyAlignment="1" applyFont="1" applyNumberFormat="1">
      <alignment horizontal="right" readingOrder="0"/>
    </xf>
    <xf borderId="0" fillId="3" fontId="5" numFmtId="165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right" readingOrder="0"/>
    </xf>
    <xf borderId="0" fillId="0" fontId="23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0" fontId="5" numFmtId="165" xfId="0" applyAlignment="1" applyFont="1" applyNumberFormat="1">
      <alignment horizontal="right"/>
    </xf>
    <xf borderId="0" fillId="0" fontId="1" numFmtId="165" xfId="0" applyAlignment="1" applyFont="1" applyNumberFormat="1">
      <alignment horizontal="right" readingOrder="0"/>
    </xf>
    <xf borderId="0" fillId="3" fontId="5" numFmtId="165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/>
    </xf>
    <xf borderId="0" fillId="3" fontId="5" numFmtId="164" xfId="0" applyAlignment="1" applyFont="1" applyNumberFormat="1">
      <alignment horizontal="right" readingOrder="0" shrinkToFit="0" wrapText="0"/>
    </xf>
    <xf borderId="0" fillId="4" fontId="2" numFmtId="0" xfId="0" applyAlignment="1" applyFont="1">
      <alignment readingOrder="0"/>
    </xf>
    <xf borderId="0" fillId="4" fontId="4" numFmtId="0" xfId="0" applyFont="1"/>
    <xf borderId="0" fillId="0" fontId="24" numFmtId="0" xfId="0" applyFon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horizontal="left"/>
    </xf>
    <xf borderId="0" fillId="0" fontId="2" numFmtId="167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4" numFmtId="0" xfId="0" applyFont="1"/>
    <xf borderId="10" fillId="3" fontId="25" numFmtId="164" xfId="0" applyAlignment="1" applyBorder="1" applyFont="1" applyNumberFormat="1">
      <alignment horizontal="right" readingOrder="0" vertical="top"/>
    </xf>
    <xf borderId="0" fillId="3" fontId="25" numFmtId="0" xfId="0" applyFont="1"/>
    <xf borderId="0" fillId="4" fontId="26" numFmtId="0" xfId="0" applyAlignment="1" applyFont="1">
      <alignment readingOrder="0" shrinkToFit="0" vertical="bottom" wrapText="0"/>
    </xf>
    <xf borderId="0" fillId="4" fontId="10" numFmtId="0" xfId="0" applyAlignment="1" applyFont="1">
      <alignment horizontal="right" readingOrder="0" shrinkToFit="0" vertical="bottom" wrapText="0"/>
    </xf>
    <xf borderId="0" fillId="4" fontId="27" numFmtId="0" xfId="0" applyAlignment="1" applyFont="1">
      <alignment readingOrder="0"/>
    </xf>
    <xf borderId="0" fillId="3" fontId="28" numFmtId="0" xfId="0" applyAlignment="1" applyFont="1">
      <alignment horizontal="left" vertical="bottom"/>
    </xf>
    <xf borderId="0" fillId="0" fontId="4" numFmtId="164" xfId="0" applyAlignment="1" applyFont="1" applyNumberFormat="1">
      <alignment readingOrder="0"/>
    </xf>
    <xf borderId="0" fillId="3" fontId="25" numFmtId="164" xfId="0" applyAlignment="1" applyFont="1" applyNumberFormat="1">
      <alignment readingOrder="0"/>
    </xf>
    <xf borderId="1" fillId="0" fontId="4" numFmtId="0" xfId="0" applyBorder="1" applyFont="1"/>
    <xf borderId="1" fillId="0" fontId="2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liteon/LTST-C190GKT/269230" TargetMode="External"/><Relationship Id="rId2" Type="http://schemas.openxmlformats.org/officeDocument/2006/relationships/hyperlink" Target="https://www.digikey.com/en/products/detail/stackpole-electronics-inc/RMCF0603FT30K1/1760864" TargetMode="External"/><Relationship Id="rId3" Type="http://schemas.openxmlformats.org/officeDocument/2006/relationships/hyperlink" Target="https://www.digikey.com/en/products/detail/keystone-electronics/5002/255328" TargetMode="External"/><Relationship Id="rId4" Type="http://schemas.openxmlformats.org/officeDocument/2006/relationships/hyperlink" Target="https://www.digikey.com/en/products/detail/texas-instruments/BQ25622RYKR/17878421" TargetMode="External"/><Relationship Id="rId5" Type="http://schemas.openxmlformats.org/officeDocument/2006/relationships/hyperlink" Target="https://www.digikey.com/en/products/detail/voltaic-systems/P110/12154976" TargetMode="External"/><Relationship Id="rId6" Type="http://schemas.openxmlformats.org/officeDocument/2006/relationships/hyperlink" Target="https://www.digikey.com/en/products/detail/samtec-inc/SNT-100-BK-G/1756763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digikey.com/en/products/detail/vishay-beyschlag-draloric-bc-components/PR01000101009JR500/595972?s=N4IgTCBcDaIGoEsDOALAhgTwAQAUBKADAIwGkkkECcAUngKykgC6AvkA" TargetMode="External"/><Relationship Id="rId10" Type="http://schemas.openxmlformats.org/officeDocument/2006/relationships/hyperlink" Target="https://www.digikey.com/en/products/detail/yageo/RC0805JR-0720ML/5919059?s=N4IgTCBcDaIEoGEAMAOJBWAUnAtEg7GEgLIAyIAugL5A" TargetMode="External"/><Relationship Id="rId13" Type="http://schemas.openxmlformats.org/officeDocument/2006/relationships/hyperlink" Target="https://www.digikey.com/en/products/detail/w%C3%BCrth-elektronik/691137710002/6644051?s=N4IgTCBcDaIGwE4CMSDMB2dSAMuIF0BfIA" TargetMode="External"/><Relationship Id="rId12" Type="http://schemas.openxmlformats.org/officeDocument/2006/relationships/hyperlink" Target="https://www.digikey.com/en/products/detail/yageo/MFR-12FTF52-5K1/9134244" TargetMode="External"/><Relationship Id="rId1" Type="http://schemas.openxmlformats.org/officeDocument/2006/relationships/hyperlink" Target="https://www.amazon.com/18650-Battery-Batteries-Parallel-Projects/dp/B0972YP22H/ref=sr_1_18?crid=2FEZ1EID6KSDD&amp;dib=eyJ2IjoiMSJ9.Q1nOyfD8vezgVu_b-MB7t69M4YXOTjdW4kEL4rBEMJGPbzLGGURwG1qBKTS6jGMMdFMnOOQ-iJOblDaKZ2sz0L9oaBxs3wCsOkPvVXpstYcMjKgp4KmSMZUwSp3Dprnin5ZURmrGAyauGR6N_L6PkDCJdCifZIFbhHjMxu96VDSFH4ss-39rsKtf4i6uQS9dFA798tLJA5rJYoOvr2on8Pta1-mpY2q1HqJJddQEwb4.vHUHq6RvB-B8vroWpN6yUOe_lgrCyRuU16ztaeZdCsY&amp;dib_tag=se&amp;keywords=1s3p+18650+battery+holder&amp;qid=1729301073&amp;sprefix=1s3p+18650+battery+holder%2Caps%2C121&amp;sr=8-18" TargetMode="External"/><Relationship Id="rId2" Type="http://schemas.openxmlformats.org/officeDocument/2006/relationships/hyperlink" Target="https://www.18650batterystore.com/products/samsung-25r-18650?srsltid=AfmBOoqOd6amBo2k6fXbt8Ez1FFmxleVQQK22SfTF0i5rxWp3cT61cEZ" TargetMode="External"/><Relationship Id="rId3" Type="http://schemas.openxmlformats.org/officeDocument/2006/relationships/hyperlink" Target="https://www.ti.com/product/BQ28Z620?utm_source=google&amp;utm_medium=cpc&amp;utm_campaign=app-bms-null-44700045336317371_prodfolderdynamic-cpc-pf-google-ww_en_int&amp;utm_content=prodfolddynamic&amp;ds_k=DYNAMIC+SEARCH+ADS&amp;DCM=yes&amp;gad_source=1&amp;gclid=Cj0KCQjwveK4BhD4ARIsAKy6pMKv8L3h6meehNVrphMxPfA883rhLV5SwvoduBgxFJBQfeDsUA4RN5MaAi0KEALw_wcB&amp;gclsrc=aw.ds" TargetMode="External"/><Relationship Id="rId4" Type="http://schemas.openxmlformats.org/officeDocument/2006/relationships/hyperlink" Target="https://www.digikey.com/en/products/detail/w%C3%BCrth-elektronik/691210910004/11477505?s=N4IgTCBcDaIGwE4CMYkAZlqwFhAXQF8g" TargetMode="External"/><Relationship Id="rId9" Type="http://schemas.openxmlformats.org/officeDocument/2006/relationships/hyperlink" Target="https://www.digikey.com/en/products/detail/vishay-beyschlag-draloric-bc-components/MRS25000C1002FCT00/5063978?s=N4IgTCBcDaIGoEsDOALAhgTwAQFkBKAymAKwAM5AwgIzlgBiFAKuSALoC%2BQA" TargetMode="External"/><Relationship Id="rId15" Type="http://schemas.openxmlformats.org/officeDocument/2006/relationships/hyperlink" Target="https://www.digikey.com/en/products/detail/texas-instruments/CSD16412Q5A/2038311?s=N4IgTCBcDaIMIGUAiBGAbAFhWAigVgEEQBdAXyA" TargetMode="External"/><Relationship Id="rId14" Type="http://schemas.openxmlformats.org/officeDocument/2006/relationships/hyperlink" Target="https://www.digikey.com/en/products/detail/bel-fuse-inc/0685T5000-01/5466711?s=N4IgTCBcDaIAwDYAcBWAKiuWC0cCMIAugL5A" TargetMode="External"/><Relationship Id="rId17" Type="http://schemas.openxmlformats.org/officeDocument/2006/relationships/hyperlink" Target="https://www.digikey.com/en/products/detail/kyocera-avx/KGM21NR71H104KT/563505?s=N4IgTCBcDaIIIDUAaACADADjQVmwYQEY0AWAaTgBUw4QBdAXyA" TargetMode="External"/><Relationship Id="rId16" Type="http://schemas.openxmlformats.org/officeDocument/2006/relationships/hyperlink" Target="https://www.digikey.com/en/products/detail/diodes-incorporated/2N7002K-7/1934378?s=N4IgTCBcDaICIEsD2ATApgZwAQEkB2AxgHRZgByA7AAxVgDSAtBSALoC%2BQA" TargetMode="External"/><Relationship Id="rId5" Type="http://schemas.openxmlformats.org/officeDocument/2006/relationships/hyperlink" Target="https://www.digikey.com/en/products/detail/yageo/MFR-25FBF52-100R/12795?s=N4IgTCBcDaIJoEMDmBTA9gAgLIDEBKAtGAKw4BCOxYBAjAAx14gC6AvkA" TargetMode="External"/><Relationship Id="rId19" Type="http://schemas.openxmlformats.org/officeDocument/2006/relationships/hyperlink" Target="https://www.mouser.com/ProductDetail/Panasonic/ERJ-8BWFR010V?qs=KH2o3k57UShEa4%252B9X5Zg1Q%3D%3D" TargetMode="External"/><Relationship Id="rId6" Type="http://schemas.openxmlformats.org/officeDocument/2006/relationships/hyperlink" Target="https://www.digikey.com/en/products/detail/onsemi/MM3Z5V6C/1626786?s=N4IgTCBcDaIPYDsDOBTAtgSwAQFkcGYAtAVgDUA2AYRAF0BfIA" TargetMode="External"/><Relationship Id="rId18" Type="http://schemas.openxmlformats.org/officeDocument/2006/relationships/hyperlink" Target="https://www.digikey.com/en/products/detail/kyocera-avx/0805ZD225KAT2A/563523?s=N4IgTCBcDaIIIDUAaACADADjQVgFoBEwxsBpOAFTDhAF0BfIA" TargetMode="External"/><Relationship Id="rId7" Type="http://schemas.openxmlformats.org/officeDocument/2006/relationships/hyperlink" Target="https://www.digikey.com/en/products/detail/yageo/MFR-25FBF52-1M/13714" TargetMode="External"/><Relationship Id="rId8" Type="http://schemas.openxmlformats.org/officeDocument/2006/relationships/hyperlink" Target="https://www.digikey.com/en/products/detail/murata-electronics/NCP21XV103J03RA/588477?s=N4IgTCBcDaILIFcBOBDALigBAOQMIAUwBGADQDUiAGAZgCkaAlAQRAF0BfIA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user.com/ProductDetail/SEI-Stackpole/RMCF1210JT10K0?qs=IPgv5n7u5QZextIiufaxPA%3D%3D" TargetMode="External"/><Relationship Id="rId22" Type="http://schemas.openxmlformats.org/officeDocument/2006/relationships/hyperlink" Target="https://www.digikey.com/en/products/detail/te-connectivity-amp-connectors/282836-2/1826939" TargetMode="External"/><Relationship Id="rId21" Type="http://schemas.openxmlformats.org/officeDocument/2006/relationships/hyperlink" Target="https://www.digikey.com/en/products/detail/sullins-connector-solutions/PEC08SAAN/859161" TargetMode="External"/><Relationship Id="rId24" Type="http://schemas.openxmlformats.org/officeDocument/2006/relationships/hyperlink" Target="https://www.ti.com/product/EN-US/TPS25946/part-details/TPS259460ARPWR" TargetMode="External"/><Relationship Id="rId23" Type="http://schemas.openxmlformats.org/officeDocument/2006/relationships/hyperlink" Target="https://www.mouser.com/ProductDetail/TE-Connectivity/282836-2?qs=A%252Bip%252BNCYi6Ohx9vaQ1l4dg%3D%3D" TargetMode="External"/><Relationship Id="rId1" Type="http://schemas.openxmlformats.org/officeDocument/2006/relationships/hyperlink" Target="https://www.digikey.com/en/products/detail/onsemi/MMSZ4692T1G/1749039" TargetMode="External"/><Relationship Id="rId2" Type="http://schemas.openxmlformats.org/officeDocument/2006/relationships/hyperlink" Target="https://www.digikey.com/en/products/detail/diodes-incorporated/B240A-13-F/717691" TargetMode="External"/><Relationship Id="rId3" Type="http://schemas.openxmlformats.org/officeDocument/2006/relationships/hyperlink" Target="https://www.digikey.com/en/products/detail/yageo/CC0603KRX7R7BB105/2833611" TargetMode="External"/><Relationship Id="rId4" Type="http://schemas.openxmlformats.org/officeDocument/2006/relationships/hyperlink" Target="https://www.digikey.com/en/products/detail/murata-electronics/GRM1885C1H272JA01D/702547" TargetMode="External"/><Relationship Id="rId9" Type="http://schemas.openxmlformats.org/officeDocument/2006/relationships/hyperlink" Target="https://www.mouser.com/ProductDetail/Panasonic/ERJ-6GEYJ474V?qs=YMBIwoNQYdUCy4oWeQgeIw%3D%3D" TargetMode="External"/><Relationship Id="rId26" Type="http://schemas.openxmlformats.org/officeDocument/2006/relationships/hyperlink" Target="https://www.ti.com/product/EN-US/TMUX1248/part-details/TMUX1248DCKR" TargetMode="External"/><Relationship Id="rId25" Type="http://schemas.openxmlformats.org/officeDocument/2006/relationships/hyperlink" Target="https://www.mouser.com/ProductDetail/595-TPS259460ARPWR" TargetMode="External"/><Relationship Id="rId28" Type="http://schemas.openxmlformats.org/officeDocument/2006/relationships/hyperlink" Target="https://www.digikey.com/en/products/detail/raf-electronic-hardware/2100-632-AL/7680640" TargetMode="External"/><Relationship Id="rId27" Type="http://schemas.openxmlformats.org/officeDocument/2006/relationships/hyperlink" Target="https://www.mouser.com/ProductDetail/Texas-Instruments/TMUX1248DCKR?qs=QNEnbhJQKvba99NaGQ0qVA%3D%3D" TargetMode="External"/><Relationship Id="rId5" Type="http://schemas.openxmlformats.org/officeDocument/2006/relationships/hyperlink" Target="https://www.mouser.com/ProductDetail/Murata-Electronics/GRM1885C1H272JA01D?qs=%2FEhSLMV8HUQlL5ZggNQk6g%3D%3D" TargetMode="External"/><Relationship Id="rId6" Type="http://schemas.openxmlformats.org/officeDocument/2006/relationships/hyperlink" Target="https://www.digikey.com/en/products/detail/murata-electronics/GRM2195C1H752JA01D/586782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www.mouser.com/ProductDetail/Murata-Electronics/GRM2195C1H752JA01D?qs=3Vu9ppaVHS6q11SGVh%2FV8g%3D%3D" TargetMode="External"/><Relationship Id="rId8" Type="http://schemas.openxmlformats.org/officeDocument/2006/relationships/hyperlink" Target="https://www.digikey.com/en/products/detail/panasonic-electronic-components/ERJ-6GEYJ474V/83142" TargetMode="External"/><Relationship Id="rId11" Type="http://schemas.openxmlformats.org/officeDocument/2006/relationships/hyperlink" Target="https://www.mouser.com/ProductDetail/YAGEO/RC0805FR-07100KL?qs=8Y8p%252BasKcI7rEWn6FcVdAA%3D%3D" TargetMode="External"/><Relationship Id="rId10" Type="http://schemas.openxmlformats.org/officeDocument/2006/relationships/hyperlink" Target="https://www.digikey.com/en/products/detail/yageo/RC0805FR-07100KL/727544" TargetMode="External"/><Relationship Id="rId13" Type="http://schemas.openxmlformats.org/officeDocument/2006/relationships/hyperlink" Target="https://www.mouser.com/ProductDetail/YAGEO/RC0603FR-0747KL?qs=gt6vzsuosg3jXzmCiDCCdg%3D%3D&amp;srsltid=AfmBOooYeC23CRLGSbj5lKyNDiC_8jEuDBdDLycE768HJIm9Lj2CTmkG" TargetMode="External"/><Relationship Id="rId12" Type="http://schemas.openxmlformats.org/officeDocument/2006/relationships/hyperlink" Target="https://www.digikey.com/en/products/detail/yageo/RC0603FR-0747KL/727253" TargetMode="External"/><Relationship Id="rId15" Type="http://schemas.openxmlformats.org/officeDocument/2006/relationships/hyperlink" Target="https://www.mouser.com/ProductDetail/YAGEO/RC0805FR-0720K5L?qs=QrWOOBGzeCZ%252BXTGCLt8vFg%3D%3D" TargetMode="External"/><Relationship Id="rId14" Type="http://schemas.openxmlformats.org/officeDocument/2006/relationships/hyperlink" Target="https://www.digikey.com/en/products/detail/yageo/RC0805FR-0720K5L/727722" TargetMode="External"/><Relationship Id="rId17" Type="http://schemas.openxmlformats.org/officeDocument/2006/relationships/hyperlink" Target="https://www.mouser.com/ProductDetail/Vishay-Dale/CRCW0805866RFKEA?qs=gFq8Ja42mL5y9BwvIQrGGg%3D%3D" TargetMode="External"/><Relationship Id="rId16" Type="http://schemas.openxmlformats.org/officeDocument/2006/relationships/hyperlink" Target="https://www.digikey.com/en/products/detail/vishay-dale/CRCW0805866RFKEA/1175630" TargetMode="External"/><Relationship Id="rId19" Type="http://schemas.openxmlformats.org/officeDocument/2006/relationships/hyperlink" Target="https://www.digikey.com/en/products/detail/stackpole-electronics-inc/RMCF1210JT10K0/1757294" TargetMode="External"/><Relationship Id="rId18" Type="http://schemas.openxmlformats.org/officeDocument/2006/relationships/hyperlink" Target="https://www.digikey.com/en/products/detail/stackpole-electronics-inc/CSRT0603FT5R00/16204542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kemet/C0603C474J4RAC7867/3316992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www.digikey.com/en/products/detail/texas-instruments/TUSB320IRWBR/5297639?s=N4IgTCBcDaICoFUDKAhAzGADASQEoHUVcQBdAXyA" TargetMode="External"/><Relationship Id="rId1" Type="http://schemas.openxmlformats.org/officeDocument/2006/relationships/hyperlink" Target="https://www.digikey.com/en/products/detail/gct/USB4125-GF-A-0190/14559040?utm_adgroup=&amp;utm_source=google&amp;utm_medium=cpc&amp;utm_campaign=Pmax_Shopping_DK%2B%20Supplier_ITECH&amp;utm_term=&amp;utm_content=&amp;utm_id=go_cmp-21147141757_adg-_ad-__dev-c_ext-_prd-14559040_sig-CjwKCAjwjsi4BhB5EiwAFAL0YGeTPppV3aoI_LTHoDc6-FrNgYDMB5zcRGbktNgPAttdEFNmas6nGRoCa-wQAvD_BwE&amp;gad_source=1&amp;gclid=CjwKCAjwjsi4BhB5EiwAFAL0YGeTPppV3aoI_LTHoDc6-FrNgYDMB5zcRGbktNgPAttdEFNmas6nGRoCa-wQAvD_BwE" TargetMode="External"/><Relationship Id="rId2" Type="http://schemas.openxmlformats.org/officeDocument/2006/relationships/hyperlink" Target="https://www.digikey.com/en/products/detail/te-connectivity-alcoswitch-switches/FSMSM/525812" TargetMode="External"/><Relationship Id="rId3" Type="http://schemas.openxmlformats.org/officeDocument/2006/relationships/hyperlink" Target="https://www.digikey.com/en/products/detail/susumu/RG2012P-204-B-T5/1212680" TargetMode="External"/><Relationship Id="rId4" Type="http://schemas.openxmlformats.org/officeDocument/2006/relationships/hyperlink" Target="https://www.digikey.com/en/products/detail/yageo/RT1206BRE07900KL/5936985" TargetMode="External"/><Relationship Id="rId9" Type="http://schemas.openxmlformats.org/officeDocument/2006/relationships/hyperlink" Target="https://www.digikey.com/en/products/detail/w%C3%BCrth-elektronik/61001021121/4846968?s=N4IgTCBcDaIGwEYAMTlgQ9IC6BfIA" TargetMode="External"/><Relationship Id="rId5" Type="http://schemas.openxmlformats.org/officeDocument/2006/relationships/hyperlink" Target="https://www.digikey.com/en/products/detail/murata-electronics/GRMJN65C1H104GE01J/19115548" TargetMode="External"/><Relationship Id="rId6" Type="http://schemas.openxmlformats.org/officeDocument/2006/relationships/hyperlink" Target="https://www.digikey.com/en/products/detail/yageo/CC0805JKX7R9BB105/7164382" TargetMode="External"/><Relationship Id="rId7" Type="http://schemas.openxmlformats.org/officeDocument/2006/relationships/hyperlink" Target="https://www.digikey.com/en/products/detail/w%C3%BCrth-elektronik/61300311121/4846825?s=N4IgTCBcDaIGwEYDMAGFSGbAkBdAvkA" TargetMode="External"/><Relationship Id="rId8" Type="http://schemas.openxmlformats.org/officeDocument/2006/relationships/hyperlink" Target="https://www.digikey.com/en/products/detail/w%C3%BCrth-elektronik/61001221121/4846969?s=N4IgTCBcDaIGwEYAMSFjAtCQF0C%2BQA" TargetMode="External"/><Relationship Id="rId11" Type="http://schemas.openxmlformats.org/officeDocument/2006/relationships/hyperlink" Target="https://www.digikey.com/en/products/detail/w%C3%BCrth-elektronik/61000621121/4846966?s=N4IgTCBcDaIGwEYAMK5gQ9IC6BfIA" TargetMode="External"/><Relationship Id="rId10" Type="http://schemas.openxmlformats.org/officeDocument/2006/relationships/hyperlink" Target="https://www.digikey.com/en/products/detail/w%C3%BCrth-elektronik/61301421121/4846851?s=N4IgTCBcDaIGwEYDMAGBAWMCFZAXQF8g" TargetMode="External"/><Relationship Id="rId13" Type="http://schemas.openxmlformats.org/officeDocument/2006/relationships/hyperlink" Target="https://www.digikey.com/en/products/detail/panasonic-electronic-components/ERA-6AEB271V/1465734" TargetMode="External"/><Relationship Id="rId12" Type="http://schemas.openxmlformats.org/officeDocument/2006/relationships/hyperlink" Target="https://www.digikey.com/en/products/detail/liteon/LTW-420D7/1835514" TargetMode="External"/><Relationship Id="rId15" Type="http://schemas.openxmlformats.org/officeDocument/2006/relationships/hyperlink" Target="https://www.digikey.com/en/products/detail/panasonic-electronic-components/ERA-6AEB472V/1465765" TargetMode="External"/><Relationship Id="rId14" Type="http://schemas.openxmlformats.org/officeDocument/2006/relationships/hyperlink" Target="https://www.digikey.com/en/products/detail/panasonic-electronic-components/ERA-6AEB331V/1465736" TargetMode="External"/><Relationship Id="rId17" Type="http://schemas.openxmlformats.org/officeDocument/2006/relationships/hyperlink" Target="https://www.digikey.com/en/products/detail/panasonic-electronic-components/ERA-6AEB473V/1465789" TargetMode="External"/><Relationship Id="rId16" Type="http://schemas.openxmlformats.org/officeDocument/2006/relationships/hyperlink" Target="https://www.digikey.com/en/products/detail/panasonic-electronic-components/ERA-6AEB222V/1465757" TargetMode="External"/><Relationship Id="rId19" Type="http://schemas.openxmlformats.org/officeDocument/2006/relationships/hyperlink" Target="https://www.digikey.com/en/products/detail/kemet/C0603C103J5RACTU/411091" TargetMode="External"/><Relationship Id="rId18" Type="http://schemas.openxmlformats.org/officeDocument/2006/relationships/hyperlink" Target="https://www.digikey.com/en/products/detail/kemet/C0805C106J8RACAUTO/7427523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kemet/C0805C106J8RACAUTO/7427523" TargetMode="External"/><Relationship Id="rId42" Type="http://schemas.openxmlformats.org/officeDocument/2006/relationships/hyperlink" Target="https://www.digikey.com/en/products/detail/kemet/C0603C474J4RAC7867/3316992" TargetMode="External"/><Relationship Id="rId41" Type="http://schemas.openxmlformats.org/officeDocument/2006/relationships/hyperlink" Target="https://www.digikey.com/en/products/detail/kemet/C0603C103J5RACTU/411091" TargetMode="External"/><Relationship Id="rId44" Type="http://schemas.openxmlformats.org/officeDocument/2006/relationships/hyperlink" Target="https://www.amazon.com/18650-Battery-Batteries-Parallel-Projects/dp/B0972YP22H/ref=sr_1_18?crid=2FEZ1EID6KSDD&amp;dib=eyJ2IjoiMSJ9.Q1nOyfD8vezgVu_b-MB7t69M4YXOTjdW4kEL4rBEMJGPbzLGGURwG1qBKTS6jGMMdFMnOOQ-iJOblDaKZ2sz0L9oaBxs3wCsOkPvVXpstYcMjKgp4KmSMZUwSp3Dprnin5ZURmrGAyauGR6N_L6PkDCJdCifZIFbhHjMxu96VDSFH4ss-39rsKtf4i6uQS9dFA798tLJA5rJYoOvr2on8Pta1-mpY2q1HqJJddQEwb4.vHUHq6RvB-B8vroWpN6yUOe_lgrCyRuU16ztaeZdCsY&amp;dib_tag=se&amp;keywords=1s3p+18650+battery+holder&amp;qid=1729301073&amp;sprefix=1s3p+18650+battery+holder%2Caps%2C121&amp;sr=8-18" TargetMode="External"/><Relationship Id="rId43" Type="http://schemas.openxmlformats.org/officeDocument/2006/relationships/hyperlink" Target="https://www.digikey.com/en/products/detail/texas-instruments/TUSB320IRWBR/5297639?s=N4IgTCBcDaICoFUDKAhAzGADASQEoHUVcQBdAXyA" TargetMode="External"/><Relationship Id="rId46" Type="http://schemas.openxmlformats.org/officeDocument/2006/relationships/hyperlink" Target="https://www.ti.com/product/BQ28Z620?utm_source=google&amp;utm_medium=cpc&amp;utm_campaign=app-bms-null-44700045336317371_prodfolderdynamic-cpc-pf-google-ww_en_int&amp;utm_content=prodfolddynamic&amp;ds_k=DYNAMIC+SEARCH+ADS&amp;DCM=yes&amp;gad_source=1&amp;gclid=Cj0KCQjwveK4BhD4ARIsAKy6pMKv8L3h6meehNVrphMxPfA883rhLV5SwvoduBgxFJBQfeDsUA4RN5MaAi0KEALw_wcB&amp;gclsrc=aw.ds" TargetMode="External"/><Relationship Id="rId45" Type="http://schemas.openxmlformats.org/officeDocument/2006/relationships/hyperlink" Target="https://www.18650batterystore.com/products/samsung-25r-18650?srsltid=AfmBOoqOd6amBo2k6fXbt8Ez1FFmxleVQQK22SfTF0i5rxWp3cT61cEZ" TargetMode="External"/><Relationship Id="rId1" Type="http://schemas.openxmlformats.org/officeDocument/2006/relationships/hyperlink" Target="https://www.digikey.com/en/products/detail/onsemi/MMSZ4692T1G/1749039" TargetMode="External"/><Relationship Id="rId2" Type="http://schemas.openxmlformats.org/officeDocument/2006/relationships/hyperlink" Target="https://www.digikey.com/en/products/detail/diodes-incorporated/B240A-13-F/717691" TargetMode="External"/><Relationship Id="rId3" Type="http://schemas.openxmlformats.org/officeDocument/2006/relationships/hyperlink" Target="https://www.digikey.com/en/products/detail/yageo/CC0603KRX7R7BB105/2833611" TargetMode="External"/><Relationship Id="rId4" Type="http://schemas.openxmlformats.org/officeDocument/2006/relationships/hyperlink" Target="https://www.digikey.com/en/products/detail/murata-electronics/GRM1885C1H272JA01D/702547" TargetMode="External"/><Relationship Id="rId9" Type="http://schemas.openxmlformats.org/officeDocument/2006/relationships/hyperlink" Target="https://www.digikey.com/en/products/detail/yageo/RC0805FR-0720K5L/727722" TargetMode="External"/><Relationship Id="rId48" Type="http://schemas.openxmlformats.org/officeDocument/2006/relationships/hyperlink" Target="https://www.digikey.com/en/products/detail/yageo/MFR-25FBF52-100R/12795?s=N4IgTCBcDaIJoEMDmBTA9gAgLIDEBKAtGAKw4BCOxYBAjAAx14gC6AvkA" TargetMode="External"/><Relationship Id="rId47" Type="http://schemas.openxmlformats.org/officeDocument/2006/relationships/hyperlink" Target="https://www.digikey.com/en/products/detail/w%C3%BCrth-elektronik/691210910004/11477505?s=N4IgTCBcDaIGwE4CMYkAZlqwFhAXQF8g" TargetMode="External"/><Relationship Id="rId49" Type="http://schemas.openxmlformats.org/officeDocument/2006/relationships/hyperlink" Target="https://www.digikey.com/en/products/detail/onsemi/MM3Z5V6C/1626786?s=N4IgTCBcDaIPYDsDOBTAtgSwAQFkcGYAtAVgDUA2AYRAF0BfIA" TargetMode="External"/><Relationship Id="rId5" Type="http://schemas.openxmlformats.org/officeDocument/2006/relationships/hyperlink" Target="https://www.digikey.com/en/products/detail/murata-electronics/GRM2195C1H752JA01D/586782" TargetMode="External"/><Relationship Id="rId6" Type="http://schemas.openxmlformats.org/officeDocument/2006/relationships/hyperlink" Target="https://www.digikey.com/en/products/detail/panasonic-electronic-components/ERJ-6GEYJ474V/83142" TargetMode="External"/><Relationship Id="rId7" Type="http://schemas.openxmlformats.org/officeDocument/2006/relationships/hyperlink" Target="https://www.digikey.com/en/products/detail/yageo/RC0805FR-0782K5L/728167" TargetMode="External"/><Relationship Id="rId8" Type="http://schemas.openxmlformats.org/officeDocument/2006/relationships/hyperlink" Target="https://www.digikey.com/en/products/detail/yageo/RC0603FR-0747KL/727253" TargetMode="External"/><Relationship Id="rId31" Type="http://schemas.openxmlformats.org/officeDocument/2006/relationships/hyperlink" Target="https://www.digikey.com/en/products/detail/w%C3%BCrth-elektronik/61001021121/4846968?s=N4IgTCBcDaIGwEYAMTlgQ9IC6BfIA" TargetMode="External"/><Relationship Id="rId30" Type="http://schemas.openxmlformats.org/officeDocument/2006/relationships/hyperlink" Target="https://www.digikey.com/en/products/detail/w%C3%BCrth-elektronik/61001221121/4846969?s=N4IgTCBcDaIGwEYAMSFjAtCQF0C%2BQA" TargetMode="External"/><Relationship Id="rId33" Type="http://schemas.openxmlformats.org/officeDocument/2006/relationships/hyperlink" Target="https://www.digikey.com/en/products/detail/w%C3%BCrth-elektronik/61000621121/4846966?s=N4IgTCBcDaIGwEYAMK5gQ9IC6BfIA" TargetMode="External"/><Relationship Id="rId32" Type="http://schemas.openxmlformats.org/officeDocument/2006/relationships/hyperlink" Target="https://www.digikey.com/en/products/detail/w%C3%BCrth-elektronik/61301421121/4846851?s=N4IgTCBcDaIGwEYDMAGBAWMCFZAXQF8g" TargetMode="External"/><Relationship Id="rId35" Type="http://schemas.openxmlformats.org/officeDocument/2006/relationships/hyperlink" Target="https://www.digikey.com/en/products/detail/panasonic-electronic-components/ERA-6AEB271V/1465734" TargetMode="External"/><Relationship Id="rId34" Type="http://schemas.openxmlformats.org/officeDocument/2006/relationships/hyperlink" Target="https://www.digikey.com/en/products/detail/liteon/LTW-420D7/1835514" TargetMode="External"/><Relationship Id="rId37" Type="http://schemas.openxmlformats.org/officeDocument/2006/relationships/hyperlink" Target="https://www.digikey.com/en/products/detail/panasonic-electronic-components/ERA-6AEB472V/1465765" TargetMode="External"/><Relationship Id="rId36" Type="http://schemas.openxmlformats.org/officeDocument/2006/relationships/hyperlink" Target="https://www.digikey.com/en/products/detail/panasonic-electronic-components/ERA-6AEB331V/1465736" TargetMode="External"/><Relationship Id="rId39" Type="http://schemas.openxmlformats.org/officeDocument/2006/relationships/hyperlink" Target="https://www.digikey.com/en/products/detail/panasonic-electronic-components/ERA-6AEB473V/1465789" TargetMode="External"/><Relationship Id="rId38" Type="http://schemas.openxmlformats.org/officeDocument/2006/relationships/hyperlink" Target="https://www.digikey.com/en/products/detail/panasonic-electronic-components/ERA-6AEB222V/1465757" TargetMode="External"/><Relationship Id="rId62" Type="http://schemas.openxmlformats.org/officeDocument/2006/relationships/hyperlink" Target="https://www.digikey.com/en/products/detail/diodes-incorporated/B320A-13-F/717692" TargetMode="External"/><Relationship Id="rId61" Type="http://schemas.openxmlformats.org/officeDocument/2006/relationships/hyperlink" Target="https://www.digikey.com/en/products/detail/kyocera-avx/0805ZD225KAT2A/563523?s=N4IgTCBcDaIIIDUAaACADADjQVgFoBEwxsBpOAFTDhAF0BfIA" TargetMode="External"/><Relationship Id="rId20" Type="http://schemas.openxmlformats.org/officeDocument/2006/relationships/hyperlink" Target="https://www.digikey.com/en/products/detail/keystone-electronics/5002/255328" TargetMode="External"/><Relationship Id="rId64" Type="http://schemas.openxmlformats.org/officeDocument/2006/relationships/drawing" Target="../drawings/drawing5.xml"/><Relationship Id="rId63" Type="http://schemas.openxmlformats.org/officeDocument/2006/relationships/hyperlink" Target="https://www.digikey.com/en/products/detail/onsemi/MMSZ4702T1G/919735" TargetMode="External"/><Relationship Id="rId22" Type="http://schemas.openxmlformats.org/officeDocument/2006/relationships/hyperlink" Target="https://www.digikey.com/en/products/detail/samtec-inc/SNT-100-BK-G/1756763" TargetMode="External"/><Relationship Id="rId21" Type="http://schemas.openxmlformats.org/officeDocument/2006/relationships/hyperlink" Target="https://www.digikey.com/en/products/detail/texas-instruments/BQ25622RYKR/17878421" TargetMode="External"/><Relationship Id="rId24" Type="http://schemas.openxmlformats.org/officeDocument/2006/relationships/hyperlink" Target="https://www.digikey.com/en/products/detail/te-connectivity-alcoswitch-switches/FSMSM/525812" TargetMode="External"/><Relationship Id="rId23" Type="http://schemas.openxmlformats.org/officeDocument/2006/relationships/hyperlink" Target="https://www.digikey.com/en/products/detail/gct/USB4125-GF-A-0190/14559040?utm_adgroup=&amp;utm_source=google&amp;utm_medium=cpc&amp;utm_campaign=Pmax_Shopping_DK%2B%20Supplier_ITECH&amp;utm_term=&amp;utm_content=&amp;utm_id=go_cmp-21147141757_adg-_ad-__dev-c_ext-_prd-14559040_sig-CjwKCAjwjsi4BhB5EiwAFAL0YGeTPppV3aoI_LTHoDc6-FrNgYDMB5zcRGbktNgPAttdEFNmas6nGRoCa-wQAvD_BwE&amp;gad_source=1&amp;gclid=CjwKCAjwjsi4BhB5EiwAFAL0YGeTPppV3aoI_LTHoDc6-FrNgYDMB5zcRGbktNgPAttdEFNmas6nGRoCa-wQAvD_BwE" TargetMode="External"/><Relationship Id="rId60" Type="http://schemas.openxmlformats.org/officeDocument/2006/relationships/hyperlink" Target="https://www.digikey.com/en/products/detail/kyocera-avx/KGM21NR71H104KT/563505?s=N4IgTCBcDaIIIDUAaACADADjQVmwYQEY0AWAaTgBUw4QBdAXyA" TargetMode="External"/><Relationship Id="rId26" Type="http://schemas.openxmlformats.org/officeDocument/2006/relationships/hyperlink" Target="https://www.digikey.com/en/products/detail/yageo/RT1206BRE07900KL/5936985" TargetMode="External"/><Relationship Id="rId25" Type="http://schemas.openxmlformats.org/officeDocument/2006/relationships/hyperlink" Target="https://www.digikey.com/en/products/detail/susumu/RG2012P-204-B-T5/1212680" TargetMode="External"/><Relationship Id="rId28" Type="http://schemas.openxmlformats.org/officeDocument/2006/relationships/hyperlink" Target="https://www.digikey.com/en/products/detail/yageo/CC0805JKX7R9BB105/7164382" TargetMode="External"/><Relationship Id="rId27" Type="http://schemas.openxmlformats.org/officeDocument/2006/relationships/hyperlink" Target="https://www.digikey.com/en/products/detail/murata-electronics/GRMJN65C1H104GE01J/19115548" TargetMode="External"/><Relationship Id="rId29" Type="http://schemas.openxmlformats.org/officeDocument/2006/relationships/hyperlink" Target="https://www.digikey.com/en/products/detail/w%C3%BCrth-elektronik/61300311121/4846825?s=N4IgTCBcDaIGwEYDMAGFSGbAkBdAvkA" TargetMode="External"/><Relationship Id="rId51" Type="http://schemas.openxmlformats.org/officeDocument/2006/relationships/hyperlink" Target="https://www.digikey.com/en/products/detail/murata-electronics/NCP21XV103J03RA/588477?s=N4IgTCBcDaILIFcBOBDALigBAOQMIAUwBGADQDUiAGAZgCkaAlAQRAF0BfIA" TargetMode="External"/><Relationship Id="rId50" Type="http://schemas.openxmlformats.org/officeDocument/2006/relationships/hyperlink" Target="https://www.digikey.com/en/products/detail/yageo/MFR-25FBF52-1M/13714" TargetMode="External"/><Relationship Id="rId53" Type="http://schemas.openxmlformats.org/officeDocument/2006/relationships/hyperlink" Target="https://www.digikey.com/en/products/detail/yageo/RC0805JR-0720ML/5919059?s=N4IgTCBcDaIEoGEAMAOJBWAUnAtEg7GEgLIAyIAugL5A" TargetMode="External"/><Relationship Id="rId52" Type="http://schemas.openxmlformats.org/officeDocument/2006/relationships/hyperlink" Target="https://www.digikey.com/en/products/detail/vishay-beyschlag-draloric-bc-components/MRS25000C1002FCT00/5063978?s=N4IgTCBcDaIGoEsDOALAhgTwAQFkBKAymAKwAM5AwgIzlgBiFAKuSALoC%2BQA" TargetMode="External"/><Relationship Id="rId11" Type="http://schemas.openxmlformats.org/officeDocument/2006/relationships/hyperlink" Target="https://www.digikey.com/en/products/detail/stackpole-electronics-inc/CSRT0603FT5R00/16204542" TargetMode="External"/><Relationship Id="rId55" Type="http://schemas.openxmlformats.org/officeDocument/2006/relationships/hyperlink" Target="https://www.digikey.com/en/products/detail/yageo/MFR-12FTF52-5K1/9134244" TargetMode="External"/><Relationship Id="rId10" Type="http://schemas.openxmlformats.org/officeDocument/2006/relationships/hyperlink" Target="https://www.digikey.com/en/products/detail/vishay-dale/CRCW0805866RFKEA/1175630" TargetMode="External"/><Relationship Id="rId54" Type="http://schemas.openxmlformats.org/officeDocument/2006/relationships/hyperlink" Target="https://www.digikey.com/en/products/detail/vishay-beyschlag-draloric-bc-components/PR01000101009JR500/595972?s=N4IgTCBcDaIGoEsDOALAhgTwAQAUBKADAIwGkkkECcAUngKykgC6AvkA" TargetMode="External"/><Relationship Id="rId13" Type="http://schemas.openxmlformats.org/officeDocument/2006/relationships/hyperlink" Target="https://www.digikey.com/en/products/detail/sullins-connector-solutions/PEC08SAAN/859161" TargetMode="External"/><Relationship Id="rId57" Type="http://schemas.openxmlformats.org/officeDocument/2006/relationships/hyperlink" Target="https://www.digikey.com/en/products/detail/bel-fuse-inc/0685T5000-01/5466711?s=N4IgTCBcDaIAwDYAcBWAKiuWC0cCMIAugL5A" TargetMode="External"/><Relationship Id="rId12" Type="http://schemas.openxmlformats.org/officeDocument/2006/relationships/hyperlink" Target="https://www.digikey.com/en/products/detail/stackpole-electronics-inc/RMCF1210JT10K0/1757294" TargetMode="External"/><Relationship Id="rId56" Type="http://schemas.openxmlformats.org/officeDocument/2006/relationships/hyperlink" Target="https://www.digikey.com/en/products/detail/w%C3%BCrth-elektronik/691137710002/6644051?s=N4IgTCBcDaIGwE4CMSDMB2dSAMuIF0BfIA" TargetMode="External"/><Relationship Id="rId15" Type="http://schemas.openxmlformats.org/officeDocument/2006/relationships/hyperlink" Target="https://www.mouser.com/ProductDetail/Texas-Instruments/TPS259460ARPWR?qs=TuK3vfAjtkWfsNpxJPS8Ng%3D%3D" TargetMode="External"/><Relationship Id="rId59" Type="http://schemas.openxmlformats.org/officeDocument/2006/relationships/hyperlink" Target="https://www.digikey.com/en/products/detail/diodes-incorporated/2N7002K-7/1934378?s=N4IgTCBcDaICIEsD2ATApgZwAQEkB2AxgHRZgByA7AAxVgDSAtBSALoC%2BQA" TargetMode="External"/><Relationship Id="rId14" Type="http://schemas.openxmlformats.org/officeDocument/2006/relationships/hyperlink" Target="https://www.digikey.com/en/products/detail/te-connectivity-amp-connectors/282836-2/1826939" TargetMode="External"/><Relationship Id="rId58" Type="http://schemas.openxmlformats.org/officeDocument/2006/relationships/hyperlink" Target="https://www.digikey.com/en/products/detail/texas-instruments/CSD16412Q5A/2038311?s=N4IgTCBcDaIMIGUAiBGAbAFhWAigVgEEQBdAXyA" TargetMode="External"/><Relationship Id="rId17" Type="http://schemas.openxmlformats.org/officeDocument/2006/relationships/hyperlink" Target="https://www.digikey.com/en/products/detail/murata-electronics/GRM188D71A106KA73D/6606090" TargetMode="External"/><Relationship Id="rId16" Type="http://schemas.openxmlformats.org/officeDocument/2006/relationships/hyperlink" Target="https://www.mouser.com/ProductDetail/Texas-Instruments/TMUX1248DCKR?qs=QNEnbhJQKvba99NaGQ0qVA%3D%3D" TargetMode="External"/><Relationship Id="rId19" Type="http://schemas.openxmlformats.org/officeDocument/2006/relationships/hyperlink" Target="https://www.digikey.com/en/products/detail/stackpole-electronics-inc/RMCF0603FT30K1/1760864" TargetMode="External"/><Relationship Id="rId18" Type="http://schemas.openxmlformats.org/officeDocument/2006/relationships/hyperlink" Target="https://www.digikey.com/en/products/detail/liteon/LTST-C190GKT/26923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ProductDetail/Vishay-Dale/CRCW0402100RFKEDC?qs=E3Y5ESvWgWO1aKOdrdIvbA%3D%3D" TargetMode="External"/><Relationship Id="rId2" Type="http://schemas.openxmlformats.org/officeDocument/2006/relationships/hyperlink" Target="https://www.mouser.com/ProductDetail/KYOCERA-AVX/08055C104KAT2A?qs=2ujN4bDBNE9mJvapP%252BjopA%3D%3D" TargetMode="External"/><Relationship Id="rId3" Type="http://schemas.openxmlformats.org/officeDocument/2006/relationships/hyperlink" Target="https://www.mouser.com/ProductDetail/onsemi-Fairchild/MM3Z5V6C?qs=rXqtSHp76q6mZxise9dftg%3D%3D" TargetMode="External"/><Relationship Id="rId4" Type="http://schemas.openxmlformats.org/officeDocument/2006/relationships/hyperlink" Target="https://www.mouser.com/ProductDetail/YAGEO/RC0603FR-0710KL?qs=grNVn54RoB%252B3GtjbJj3wJQ%3D%3D" TargetMode="External"/><Relationship Id="rId9" Type="http://schemas.openxmlformats.org/officeDocument/2006/relationships/hyperlink" Target="https://www.mouser.com/ProductDetail/Vishay-Dale/CRCW040210K0FKEDHP?qs=FlFvgi4rxBxmIiaeyFjrkA%3D%3D" TargetMode="External"/><Relationship Id="rId5" Type="http://schemas.openxmlformats.org/officeDocument/2006/relationships/hyperlink" Target="https://www.mouser.com/ProductDetail/YAGEO/RC0402FR-0710RL?qs=sGAEpiMZZMukHu%252BjC5l7YchWVhsWyAy27GYPTuU2zBU%3D" TargetMode="External"/><Relationship Id="rId6" Type="http://schemas.openxmlformats.org/officeDocument/2006/relationships/hyperlink" Target="https://www.mouser.com/ProductDetail/YAGEO/RC0402FR-075K1L?qs=YUgVZYePFqCSmQuaha43RA%3D%3D" TargetMode="External"/><Relationship Id="rId7" Type="http://schemas.openxmlformats.org/officeDocument/2006/relationships/hyperlink" Target="https://www.mouser.com/ProductDetail/Susumu/RR1220Q-100-D?qs=U7dmUkNviFtO6MBkyiGCwQ%3D%3D" TargetMode="External"/><Relationship Id="rId8" Type="http://schemas.openxmlformats.org/officeDocument/2006/relationships/hyperlink" Target="https://www.mouser.com/ProductDetail/Vishay-Dale/CRCW040210M0FKED?qs=DDCJs2%252BWWG1ECyUd3oQXVw%3D%3D" TargetMode="External"/><Relationship Id="rId31" Type="http://schemas.openxmlformats.org/officeDocument/2006/relationships/hyperlink" Target="https://www.mouser.com/ProductDetail/Texas-Instruments/TMUX1248DCKR?qs=QNEnbhJQKvba99NaGQ0qVA%3D%3D" TargetMode="External"/><Relationship Id="rId30" Type="http://schemas.openxmlformats.org/officeDocument/2006/relationships/hyperlink" Target="https://www.mouser.com/ProductDetail/595-TPS259460ARPWR" TargetMode="External"/><Relationship Id="rId33" Type="http://schemas.openxmlformats.org/officeDocument/2006/relationships/drawing" Target="../drawings/drawing6.xml"/><Relationship Id="rId32" Type="http://schemas.openxmlformats.org/officeDocument/2006/relationships/hyperlink" Target="https://www.digikey.com/en/products/detail/raf-electronic-hardware/2100-632-AL/7680640" TargetMode="External"/><Relationship Id="rId20" Type="http://schemas.openxmlformats.org/officeDocument/2006/relationships/hyperlink" Target="https://www.digikey.com/en/products/detail/w%C3%BCrth-elektronik/61001221121/4846969?s=N4IgTCBcDaIGwEYAMSFjAtCQF0C%2BQA" TargetMode="External"/><Relationship Id="rId22" Type="http://schemas.openxmlformats.org/officeDocument/2006/relationships/hyperlink" Target="https://www.mouser.com/ProductDetail/Murata-Electronics/GRM2195C1H752JA01D?qs=3Vu9ppaVHS6q11SGVh%2FV8g%3D%3D" TargetMode="External"/><Relationship Id="rId21" Type="http://schemas.openxmlformats.org/officeDocument/2006/relationships/hyperlink" Target="https://www.mouser.com/ProductDetail/Murata-Electronics/GRM1885C1H272JA01D?qs=%2FEhSLMV8HUQlL5ZggNQk6g%3D%3D" TargetMode="External"/><Relationship Id="rId24" Type="http://schemas.openxmlformats.org/officeDocument/2006/relationships/hyperlink" Target="https://www.mouser.com/ProductDetail/YAGEO/RC0805FR-07100KL?qs=8Y8p%252BasKcI7rEWn6FcVdAA%3D%3D" TargetMode="External"/><Relationship Id="rId23" Type="http://schemas.openxmlformats.org/officeDocument/2006/relationships/hyperlink" Target="https://www.mouser.com/ProductDetail/Panasonic/ERJ-6GEYJ474V?qs=YMBIwoNQYdUCy4oWeQgeIw%3D%3D" TargetMode="External"/><Relationship Id="rId26" Type="http://schemas.openxmlformats.org/officeDocument/2006/relationships/hyperlink" Target="https://www.mouser.com/ProductDetail/YAGEO/RC0805FR-0720K5L?qs=QrWOOBGzeCZ%252BXTGCLt8vFg%3D%3D" TargetMode="External"/><Relationship Id="rId25" Type="http://schemas.openxmlformats.org/officeDocument/2006/relationships/hyperlink" Target="https://www.mouser.com/ProductDetail/YAGEO/RC0603FR-0747KL?qs=gt6vzsuosg3jXzmCiDCCdg%3D%3D&amp;srsltid=AfmBOooYeC23CRLGSbj5lKyNDiC_8jEuDBdDLycE768HJIm9Lj2CTmkG" TargetMode="External"/><Relationship Id="rId28" Type="http://schemas.openxmlformats.org/officeDocument/2006/relationships/hyperlink" Target="https://www.mouser.com/ProductDetail/SEI-Stackpole/RMCF1210JT10K0?qs=IPgv5n7u5QZextIiufaxPA%3D%3D" TargetMode="External"/><Relationship Id="rId27" Type="http://schemas.openxmlformats.org/officeDocument/2006/relationships/hyperlink" Target="https://www.mouser.com/ProductDetail/Vishay-Dale/CRCW0805866RFKEA?qs=gFq8Ja42mL5y9BwvIQrGGg%3D%3D" TargetMode="External"/><Relationship Id="rId29" Type="http://schemas.openxmlformats.org/officeDocument/2006/relationships/hyperlink" Target="https://www.mouser.com/ProductDetail/TE-Connectivity/282836-2?qs=A%252Bip%252BNCYi6Ohx9vaQ1l4dg%3D%3D" TargetMode="External"/><Relationship Id="rId11" Type="http://schemas.openxmlformats.org/officeDocument/2006/relationships/hyperlink" Target="https://www.mouser.com/ProductDetail/Texas-Instruments/MSPM0G3507SPMR?qs=ST9lo4GX8V0tukxOtqK%252B6A%3D%3D" TargetMode="External"/><Relationship Id="rId10" Type="http://schemas.openxmlformats.org/officeDocument/2006/relationships/hyperlink" Target="https://www.digikey.com/en/products/detail/sullins-connector-solutions/PEC02SAAN/859155?s=N4IgTCBcDaIA4FMDGAGMBnAhpgdiAugL5A" TargetMode="External"/><Relationship Id="rId13" Type="http://schemas.openxmlformats.org/officeDocument/2006/relationships/hyperlink" Target="https://www.mouser.com/ProductDetail/Samsung-Electro-Mechanics/CL32A157MQVNNNE?qs=o1waKiAPAqeOsXqB2m5tpw%3D%3D" TargetMode="External"/><Relationship Id="rId12" Type="http://schemas.openxmlformats.org/officeDocument/2006/relationships/hyperlink" Target="https://www.mouser.com/ProductDetail/onsemi/BSS138LT1G?qs=vNc2DXHODiKPZ2y3rQhTYQ%3D%3D" TargetMode="External"/><Relationship Id="rId15" Type="http://schemas.openxmlformats.org/officeDocument/2006/relationships/hyperlink" Target="https://www.digikey.com/en/products/detail/sullins-connector-solutions/GRPB081VWVN-RC/1786444" TargetMode="External"/><Relationship Id="rId14" Type="http://schemas.openxmlformats.org/officeDocument/2006/relationships/hyperlink" Target="https://www.mouser.com/ProductDetail/onsemi/MMSD914T1G?qs=P4IOph%252Bbot8PMEQIZWg1LQ%3D%3D" TargetMode="External"/><Relationship Id="rId17" Type="http://schemas.openxmlformats.org/officeDocument/2006/relationships/hyperlink" Target="https://www.digikey.com/en/products/detail/liteon/LTW-420D7/1835514" TargetMode="External"/><Relationship Id="rId16" Type="http://schemas.openxmlformats.org/officeDocument/2006/relationships/hyperlink" Target="https://www.digikey.com/en/products/detail/texas-instruments/TUSB320IRWBR/5297639" TargetMode="External"/><Relationship Id="rId19" Type="http://schemas.openxmlformats.org/officeDocument/2006/relationships/hyperlink" Target="https://www.digikey.com/en/products/detail/w%C3%BCrth-elektronik/61001021121/4846968?s=N4IgTCBcDaIGwEYAMTlgQ9IC6BfIA" TargetMode="External"/><Relationship Id="rId18" Type="http://schemas.openxmlformats.org/officeDocument/2006/relationships/hyperlink" Target="https://www.digikey.com/en/products/detail/w%C3%BCrth-elektronik/61000621121/4846966?s=N4IgTCBcDaIGwEYAMK5gQ9IC6BfIA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8.63"/>
    <col customWidth="1" min="3" max="3" width="155.88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4.25" customHeight="1">
      <c r="A2" s="4" t="s">
        <v>5</v>
      </c>
      <c r="B2" s="2">
        <v>2.0</v>
      </c>
      <c r="C2" s="1" t="s">
        <v>6</v>
      </c>
      <c r="D2" s="5">
        <v>0.3</v>
      </c>
      <c r="E2" s="6">
        <f t="shared" ref="E2:E22" si="1">D2/B2</f>
        <v>0.15</v>
      </c>
    </row>
    <row r="3" ht="14.25" customHeight="1">
      <c r="A3" s="4" t="s">
        <v>7</v>
      </c>
      <c r="B3" s="2">
        <v>10.0</v>
      </c>
      <c r="C3" s="1" t="s">
        <v>8</v>
      </c>
      <c r="D3" s="5">
        <v>0.31</v>
      </c>
      <c r="E3" s="6">
        <f t="shared" si="1"/>
        <v>0.031</v>
      </c>
    </row>
    <row r="4" ht="14.25" customHeight="1">
      <c r="A4" s="4" t="s">
        <v>9</v>
      </c>
      <c r="B4" s="2">
        <v>4.0</v>
      </c>
      <c r="C4" s="1" t="s">
        <v>10</v>
      </c>
      <c r="D4" s="7">
        <v>1.44</v>
      </c>
      <c r="E4" s="6">
        <f t="shared" si="1"/>
        <v>0.36</v>
      </c>
    </row>
    <row r="5" ht="14.25" customHeight="1">
      <c r="A5" s="4" t="s">
        <v>11</v>
      </c>
      <c r="B5" s="2">
        <v>10.0</v>
      </c>
      <c r="C5" s="1" t="s">
        <v>12</v>
      </c>
      <c r="D5" s="8">
        <v>0.35</v>
      </c>
      <c r="E5" s="6">
        <f t="shared" si="1"/>
        <v>0.035</v>
      </c>
    </row>
    <row r="6" ht="14.25" customHeight="1">
      <c r="A6" s="4" t="s">
        <v>13</v>
      </c>
      <c r="B6" s="2">
        <v>3.0</v>
      </c>
      <c r="C6" s="1" t="s">
        <v>14</v>
      </c>
      <c r="D6" s="9">
        <v>0.96</v>
      </c>
      <c r="E6" s="6">
        <f t="shared" si="1"/>
        <v>0.32</v>
      </c>
    </row>
    <row r="7" ht="14.25" customHeight="1">
      <c r="A7" s="4" t="s">
        <v>15</v>
      </c>
      <c r="B7" s="2">
        <v>3.0</v>
      </c>
      <c r="C7" s="1" t="s">
        <v>16</v>
      </c>
      <c r="D7" s="7">
        <v>0.6</v>
      </c>
      <c r="E7" s="6">
        <f t="shared" si="1"/>
        <v>0.2</v>
      </c>
    </row>
    <row r="8" ht="14.25" customHeight="1">
      <c r="A8" s="4" t="s">
        <v>17</v>
      </c>
      <c r="B8" s="2">
        <v>10.0</v>
      </c>
      <c r="C8" s="10" t="s">
        <v>18</v>
      </c>
      <c r="D8" s="7">
        <v>1.16</v>
      </c>
      <c r="E8" s="6">
        <f t="shared" si="1"/>
        <v>0.116</v>
      </c>
    </row>
    <row r="9" ht="14.25" customHeight="1">
      <c r="A9" s="4" t="s">
        <v>19</v>
      </c>
      <c r="B9" s="11">
        <v>2.0</v>
      </c>
      <c r="C9" s="12" t="s">
        <v>20</v>
      </c>
      <c r="D9" s="13">
        <v>1.16</v>
      </c>
      <c r="E9" s="6">
        <f t="shared" si="1"/>
        <v>0.58</v>
      </c>
    </row>
    <row r="10" ht="14.25" customHeight="1">
      <c r="A10" s="4" t="s">
        <v>21</v>
      </c>
      <c r="B10" s="2">
        <v>2.0</v>
      </c>
      <c r="C10" s="1" t="s">
        <v>22</v>
      </c>
      <c r="D10" s="7">
        <v>1.58</v>
      </c>
      <c r="E10" s="6">
        <f t="shared" si="1"/>
        <v>0.79</v>
      </c>
    </row>
    <row r="11" ht="14.25" customHeight="1">
      <c r="A11" s="4" t="s">
        <v>23</v>
      </c>
      <c r="B11" s="2">
        <v>1.0</v>
      </c>
      <c r="C11" s="1" t="s">
        <v>24</v>
      </c>
      <c r="D11" s="13">
        <v>1.26</v>
      </c>
      <c r="E11" s="6">
        <f t="shared" si="1"/>
        <v>1.26</v>
      </c>
    </row>
    <row r="12" ht="14.25" customHeight="1">
      <c r="A12" s="4" t="s">
        <v>25</v>
      </c>
      <c r="B12" s="2">
        <v>10.0</v>
      </c>
      <c r="C12" s="1" t="s">
        <v>26</v>
      </c>
      <c r="D12" s="7">
        <v>3.64</v>
      </c>
      <c r="E12" s="6">
        <f t="shared" si="1"/>
        <v>0.364</v>
      </c>
    </row>
    <row r="13" ht="14.25" customHeight="1">
      <c r="A13" s="4" t="s">
        <v>27</v>
      </c>
      <c r="B13" s="2">
        <v>5.0</v>
      </c>
      <c r="C13" s="1" t="s">
        <v>28</v>
      </c>
      <c r="D13" s="9">
        <f>0.24*5</f>
        <v>1.2</v>
      </c>
      <c r="E13" s="6">
        <f t="shared" si="1"/>
        <v>0.24</v>
      </c>
    </row>
    <row r="14" ht="14.25" customHeight="1">
      <c r="A14" s="4" t="s">
        <v>29</v>
      </c>
      <c r="B14" s="2">
        <v>4.0</v>
      </c>
      <c r="C14" s="1" t="s">
        <v>30</v>
      </c>
      <c r="D14" s="8">
        <f>1.98*4</f>
        <v>7.92</v>
      </c>
      <c r="E14" s="6">
        <f t="shared" si="1"/>
        <v>1.98</v>
      </c>
    </row>
    <row r="15" ht="14.25" customHeight="1">
      <c r="A15" s="4" t="s">
        <v>31</v>
      </c>
      <c r="B15" s="2">
        <v>10.0</v>
      </c>
      <c r="C15" s="1" t="s">
        <v>32</v>
      </c>
      <c r="D15" s="5">
        <v>0.54</v>
      </c>
      <c r="E15" s="6">
        <f t="shared" si="1"/>
        <v>0.054</v>
      </c>
    </row>
    <row r="16" ht="14.25" customHeight="1">
      <c r="A16" s="4" t="s">
        <v>33</v>
      </c>
      <c r="B16" s="2">
        <v>10.0</v>
      </c>
      <c r="C16" s="1" t="s">
        <v>34</v>
      </c>
      <c r="D16" s="14">
        <v>0.27</v>
      </c>
      <c r="E16" s="6">
        <f t="shared" si="1"/>
        <v>0.027</v>
      </c>
    </row>
    <row r="17" ht="14.25" customHeight="1">
      <c r="A17" s="4" t="s">
        <v>35</v>
      </c>
      <c r="B17" s="2">
        <v>10.0</v>
      </c>
      <c r="C17" s="1" t="s">
        <v>36</v>
      </c>
      <c r="D17" s="7">
        <v>0.12</v>
      </c>
      <c r="E17" s="6">
        <f t="shared" si="1"/>
        <v>0.012</v>
      </c>
    </row>
    <row r="18" ht="14.25" customHeight="1">
      <c r="A18" s="4" t="s">
        <v>37</v>
      </c>
      <c r="B18" s="2">
        <v>10.0</v>
      </c>
      <c r="C18" s="10" t="s">
        <v>38</v>
      </c>
      <c r="D18" s="14">
        <v>0.15</v>
      </c>
      <c r="E18" s="6">
        <f t="shared" si="1"/>
        <v>0.015</v>
      </c>
    </row>
    <row r="19" ht="14.25" customHeight="1">
      <c r="A19" s="4" t="s">
        <v>39</v>
      </c>
      <c r="B19" s="2">
        <v>10.0</v>
      </c>
      <c r="C19" s="10" t="s">
        <v>40</v>
      </c>
      <c r="D19" s="7">
        <v>4.1</v>
      </c>
      <c r="E19" s="6">
        <f t="shared" si="1"/>
        <v>0.41</v>
      </c>
    </row>
    <row r="20" ht="14.25" customHeight="1">
      <c r="A20" s="4" t="s">
        <v>41</v>
      </c>
      <c r="B20" s="11">
        <v>1.0</v>
      </c>
      <c r="C20" s="10" t="s">
        <v>42</v>
      </c>
      <c r="D20" s="15" t="s">
        <v>43</v>
      </c>
      <c r="E20" s="6">
        <f t="shared" si="1"/>
        <v>3.47</v>
      </c>
    </row>
    <row r="21" ht="14.25" customHeight="1">
      <c r="A21" s="16" t="s">
        <v>44</v>
      </c>
      <c r="B21" s="16">
        <v>2.0</v>
      </c>
      <c r="C21" s="17" t="s">
        <v>45</v>
      </c>
      <c r="D21" s="18">
        <f>65*2</f>
        <v>130</v>
      </c>
      <c r="E21" s="19">
        <f t="shared" si="1"/>
        <v>65</v>
      </c>
      <c r="F21" s="20" t="s">
        <v>46</v>
      </c>
    </row>
    <row r="22" ht="14.25" customHeight="1">
      <c r="A22" s="21" t="s">
        <v>47</v>
      </c>
      <c r="B22" s="11">
        <v>10.0</v>
      </c>
      <c r="C22" s="10" t="s">
        <v>48</v>
      </c>
      <c r="D22" s="7">
        <v>3.1</v>
      </c>
      <c r="E22" s="6">
        <f t="shared" si="1"/>
        <v>0.31</v>
      </c>
    </row>
    <row r="23" ht="13.5" customHeight="1"/>
    <row r="24" ht="13.5" customHeight="1"/>
    <row r="25" ht="13.5" customHeight="1">
      <c r="D25" s="22">
        <f>SUM(D2:D20)+D22</f>
        <v>30.16</v>
      </c>
    </row>
    <row r="26" ht="14.25" customHeight="1">
      <c r="B26" s="2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hyperlinks>
    <hyperlink r:id="rId1" ref="C8"/>
    <hyperlink r:id="rId2" ref="C18"/>
    <hyperlink r:id="rId3" ref="C19"/>
    <hyperlink r:id="rId4" ref="C20"/>
    <hyperlink r:id="rId5" ref="C21"/>
    <hyperlink r:id="rId6" ref="C22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</cols>
  <sheetData>
    <row r="1">
      <c r="A1" s="23" t="s">
        <v>0</v>
      </c>
      <c r="B1" s="24" t="s">
        <v>49</v>
      </c>
      <c r="C1" s="24" t="s">
        <v>50</v>
      </c>
      <c r="D1" s="23" t="s">
        <v>1</v>
      </c>
      <c r="E1" s="24" t="s">
        <v>51</v>
      </c>
      <c r="F1" s="23" t="s">
        <v>2</v>
      </c>
    </row>
    <row r="2">
      <c r="A2" s="25" t="s">
        <v>52</v>
      </c>
      <c r="B2" s="24" t="s">
        <v>53</v>
      </c>
      <c r="C2" s="26">
        <v>4.99</v>
      </c>
      <c r="D2" s="24">
        <v>1.0</v>
      </c>
      <c r="E2" s="26">
        <f t="shared" ref="E2:E19" si="1">C2*D2</f>
        <v>4.99</v>
      </c>
      <c r="F2" s="27" t="s">
        <v>54</v>
      </c>
      <c r="G2" s="20" t="s">
        <v>55</v>
      </c>
    </row>
    <row r="3">
      <c r="A3" s="24" t="s">
        <v>56</v>
      </c>
      <c r="B3" s="24" t="s">
        <v>57</v>
      </c>
      <c r="C3" s="26">
        <v>2.75</v>
      </c>
      <c r="D3" s="24">
        <v>3.0</v>
      </c>
      <c r="E3" s="26">
        <f t="shared" si="1"/>
        <v>8.25</v>
      </c>
      <c r="F3" s="27" t="s">
        <v>58</v>
      </c>
      <c r="G3" s="20" t="s">
        <v>55</v>
      </c>
    </row>
    <row r="4">
      <c r="A4" s="24" t="s">
        <v>59</v>
      </c>
      <c r="B4" s="24" t="s">
        <v>60</v>
      </c>
      <c r="C4" s="26">
        <v>1.55</v>
      </c>
      <c r="D4" s="24">
        <v>3.0</v>
      </c>
      <c r="E4" s="26">
        <f t="shared" si="1"/>
        <v>4.65</v>
      </c>
      <c r="F4" s="27" t="s">
        <v>61</v>
      </c>
      <c r="G4" s="20" t="s">
        <v>55</v>
      </c>
    </row>
    <row r="5">
      <c r="A5" s="28">
        <v>6.91210910004E11</v>
      </c>
      <c r="B5" s="24" t="s">
        <v>62</v>
      </c>
      <c r="C5" s="26">
        <v>1.95</v>
      </c>
      <c r="D5" s="24">
        <v>1.0</v>
      </c>
      <c r="E5" s="26">
        <f t="shared" si="1"/>
        <v>1.95</v>
      </c>
      <c r="F5" s="27" t="s">
        <v>63</v>
      </c>
      <c r="G5" s="20" t="s">
        <v>55</v>
      </c>
    </row>
    <row r="6">
      <c r="A6" s="29" t="s">
        <v>64</v>
      </c>
      <c r="B6" s="24" t="s">
        <v>65</v>
      </c>
      <c r="C6" s="26">
        <v>0.1</v>
      </c>
      <c r="D6" s="24">
        <v>7.0</v>
      </c>
      <c r="E6" s="26">
        <f t="shared" si="1"/>
        <v>0.7</v>
      </c>
      <c r="F6" s="27" t="s">
        <v>66</v>
      </c>
      <c r="G6" s="20" t="s">
        <v>55</v>
      </c>
    </row>
    <row r="7">
      <c r="A7" s="29" t="s">
        <v>67</v>
      </c>
      <c r="B7" s="24" t="s">
        <v>68</v>
      </c>
      <c r="C7" s="26">
        <v>0.13</v>
      </c>
      <c r="D7" s="24">
        <v>2.0</v>
      </c>
      <c r="E7" s="26">
        <f t="shared" si="1"/>
        <v>0.26</v>
      </c>
      <c r="F7" s="27" t="s">
        <v>69</v>
      </c>
      <c r="G7" s="20" t="s">
        <v>55</v>
      </c>
    </row>
    <row r="8">
      <c r="A8" s="29" t="s">
        <v>70</v>
      </c>
      <c r="B8" s="24" t="s">
        <v>65</v>
      </c>
      <c r="C8" s="26">
        <v>0.1</v>
      </c>
      <c r="D8" s="24">
        <v>1.0</v>
      </c>
      <c r="E8" s="26">
        <f t="shared" si="1"/>
        <v>0.1</v>
      </c>
      <c r="F8" s="27" t="s">
        <v>71</v>
      </c>
      <c r="G8" s="20" t="s">
        <v>55</v>
      </c>
    </row>
    <row r="9">
      <c r="A9" s="29" t="s">
        <v>72</v>
      </c>
      <c r="B9" s="24" t="s">
        <v>73</v>
      </c>
      <c r="C9" s="26">
        <v>0.2</v>
      </c>
      <c r="D9" s="24">
        <v>1.0</v>
      </c>
      <c r="E9" s="26">
        <f t="shared" si="1"/>
        <v>0.2</v>
      </c>
      <c r="F9" s="27" t="s">
        <v>74</v>
      </c>
      <c r="G9" s="20" t="s">
        <v>55</v>
      </c>
    </row>
    <row r="10">
      <c r="A10" s="29" t="s">
        <v>75</v>
      </c>
      <c r="B10" s="24" t="s">
        <v>65</v>
      </c>
      <c r="C10" s="26">
        <v>0.3</v>
      </c>
      <c r="D10" s="24">
        <v>1.0</v>
      </c>
      <c r="E10" s="26">
        <f t="shared" si="1"/>
        <v>0.3</v>
      </c>
      <c r="F10" s="27" t="s">
        <v>76</v>
      </c>
      <c r="G10" s="20" t="s">
        <v>55</v>
      </c>
    </row>
    <row r="11">
      <c r="A11" s="29" t="s">
        <v>77</v>
      </c>
      <c r="B11" s="24" t="s">
        <v>65</v>
      </c>
      <c r="C11" s="26">
        <v>0.15</v>
      </c>
      <c r="D11" s="24">
        <v>4.0</v>
      </c>
      <c r="E11" s="26">
        <f t="shared" si="1"/>
        <v>0.6</v>
      </c>
      <c r="F11" s="27" t="s">
        <v>78</v>
      </c>
      <c r="G11" s="20" t="s">
        <v>55</v>
      </c>
    </row>
    <row r="12">
      <c r="A12" s="29" t="s">
        <v>79</v>
      </c>
      <c r="B12" s="24" t="s">
        <v>65</v>
      </c>
      <c r="C12" s="26">
        <v>0.41</v>
      </c>
      <c r="D12" s="24">
        <v>2.0</v>
      </c>
      <c r="E12" s="26">
        <f t="shared" si="1"/>
        <v>0.82</v>
      </c>
      <c r="F12" s="27" t="s">
        <v>80</v>
      </c>
      <c r="G12" s="20" t="s">
        <v>55</v>
      </c>
    </row>
    <row r="13">
      <c r="A13" s="29" t="s">
        <v>81</v>
      </c>
      <c r="B13" s="24" t="s">
        <v>65</v>
      </c>
      <c r="C13" s="26">
        <v>0.1</v>
      </c>
      <c r="D13" s="24">
        <v>2.0</v>
      </c>
      <c r="E13" s="26">
        <f t="shared" si="1"/>
        <v>0.2</v>
      </c>
      <c r="F13" s="27" t="s">
        <v>82</v>
      </c>
      <c r="G13" s="20" t="s">
        <v>55</v>
      </c>
    </row>
    <row r="14">
      <c r="A14" s="28">
        <v>6.91137710002E11</v>
      </c>
      <c r="B14" s="24" t="s">
        <v>62</v>
      </c>
      <c r="C14" s="26">
        <v>0.4</v>
      </c>
      <c r="D14" s="24">
        <v>1.0</v>
      </c>
      <c r="E14" s="26">
        <f t="shared" si="1"/>
        <v>0.4</v>
      </c>
      <c r="F14" s="27" t="s">
        <v>83</v>
      </c>
      <c r="G14" s="20" t="s">
        <v>55</v>
      </c>
    </row>
    <row r="15">
      <c r="A15" s="29" t="s">
        <v>84</v>
      </c>
      <c r="B15" s="24" t="s">
        <v>85</v>
      </c>
      <c r="C15" s="26">
        <v>0.35</v>
      </c>
      <c r="D15" s="24">
        <v>3.0</v>
      </c>
      <c r="E15" s="26">
        <f t="shared" si="1"/>
        <v>1.05</v>
      </c>
      <c r="F15" s="27" t="s">
        <v>86</v>
      </c>
      <c r="G15" s="20" t="s">
        <v>55</v>
      </c>
    </row>
    <row r="16">
      <c r="A16" s="29" t="s">
        <v>87</v>
      </c>
      <c r="B16" s="24" t="s">
        <v>88</v>
      </c>
      <c r="C16" s="26">
        <v>1.06</v>
      </c>
      <c r="D16" s="24">
        <v>2.0</v>
      </c>
      <c r="E16" s="26">
        <f t="shared" si="1"/>
        <v>2.12</v>
      </c>
      <c r="F16" s="27" t="s">
        <v>89</v>
      </c>
      <c r="G16" s="20" t="s">
        <v>55</v>
      </c>
    </row>
    <row r="17">
      <c r="A17" s="29" t="s">
        <v>90</v>
      </c>
      <c r="B17" s="24" t="s">
        <v>88</v>
      </c>
      <c r="C17" s="26">
        <v>0.13</v>
      </c>
      <c r="D17" s="24">
        <v>1.0</v>
      </c>
      <c r="E17" s="26">
        <f t="shared" si="1"/>
        <v>0.13</v>
      </c>
      <c r="F17" s="27" t="s">
        <v>91</v>
      </c>
      <c r="G17" s="20" t="s">
        <v>55</v>
      </c>
    </row>
    <row r="18">
      <c r="A18" s="29" t="s">
        <v>92</v>
      </c>
      <c r="B18" s="24" t="s">
        <v>93</v>
      </c>
      <c r="C18" s="26">
        <v>0.1</v>
      </c>
      <c r="D18" s="24">
        <v>8.0</v>
      </c>
      <c r="E18" s="26">
        <f t="shared" si="1"/>
        <v>0.8</v>
      </c>
      <c r="F18" s="27" t="s">
        <v>94</v>
      </c>
      <c r="G18" s="20" t="s">
        <v>55</v>
      </c>
    </row>
    <row r="19">
      <c r="A19" s="29" t="s">
        <v>95</v>
      </c>
      <c r="B19" s="24" t="s">
        <v>93</v>
      </c>
      <c r="C19" s="26">
        <v>0.25</v>
      </c>
      <c r="D19" s="24">
        <v>1.0</v>
      </c>
      <c r="E19" s="26">
        <f t="shared" si="1"/>
        <v>0.25</v>
      </c>
      <c r="F19" s="27" t="s">
        <v>96</v>
      </c>
      <c r="G19" s="20" t="s">
        <v>55</v>
      </c>
    </row>
    <row r="20">
      <c r="A20" s="24" t="s">
        <v>97</v>
      </c>
      <c r="B20" s="24" t="s">
        <v>98</v>
      </c>
      <c r="C20" s="26">
        <v>0.65</v>
      </c>
      <c r="D20" s="24">
        <v>1.0</v>
      </c>
      <c r="F20" s="27" t="s">
        <v>99</v>
      </c>
      <c r="G20" s="20" t="s">
        <v>55</v>
      </c>
    </row>
    <row r="21">
      <c r="E21" s="26">
        <f>SUM(E2:E19)</f>
        <v>27.77</v>
      </c>
    </row>
  </sheetData>
  <hyperlinks>
    <hyperlink r:id="rId1" ref="F2"/>
    <hyperlink r:id="rId2" ref="F3"/>
    <hyperlink r:id="rId3" location="order-quality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63"/>
  </cols>
  <sheetData>
    <row r="1">
      <c r="A1" s="30" t="s">
        <v>100</v>
      </c>
      <c r="B1" s="30" t="s">
        <v>0</v>
      </c>
      <c r="C1" s="30" t="s">
        <v>101</v>
      </c>
      <c r="D1" s="30" t="s">
        <v>102</v>
      </c>
      <c r="E1" s="30" t="s">
        <v>103</v>
      </c>
      <c r="F1" s="30" t="s">
        <v>104</v>
      </c>
      <c r="G1" s="30" t="s">
        <v>105</v>
      </c>
      <c r="H1" s="31"/>
    </row>
    <row r="2">
      <c r="A2" s="32">
        <v>45586.0</v>
      </c>
      <c r="B2" s="30" t="s">
        <v>106</v>
      </c>
      <c r="C2" s="30" t="s">
        <v>107</v>
      </c>
      <c r="D2" s="33" t="s">
        <v>108</v>
      </c>
      <c r="E2" s="34">
        <v>0.069</v>
      </c>
      <c r="F2" s="34">
        <v>10.0</v>
      </c>
      <c r="G2" s="34">
        <f t="shared" ref="G2:G17" si="1">E2*F2</f>
        <v>0.69</v>
      </c>
      <c r="H2" s="20" t="s">
        <v>109</v>
      </c>
      <c r="I2" s="30"/>
      <c r="J2" s="30"/>
      <c r="K2" s="35"/>
      <c r="L2" s="34"/>
      <c r="M2" s="34"/>
      <c r="N2" s="34"/>
    </row>
    <row r="3">
      <c r="A3" s="32">
        <v>45586.0</v>
      </c>
      <c r="B3" s="30" t="s">
        <v>110</v>
      </c>
      <c r="C3" s="30" t="s">
        <v>111</v>
      </c>
      <c r="D3" s="33" t="s">
        <v>112</v>
      </c>
      <c r="E3" s="34">
        <v>0.32</v>
      </c>
      <c r="F3" s="34">
        <v>4.0</v>
      </c>
      <c r="G3" s="34">
        <f t="shared" si="1"/>
        <v>1.28</v>
      </c>
      <c r="H3" s="20" t="s">
        <v>109</v>
      </c>
      <c r="I3" s="30" t="s">
        <v>113</v>
      </c>
      <c r="J3" s="30"/>
      <c r="K3" s="35"/>
      <c r="L3" s="34"/>
      <c r="M3" s="34"/>
      <c r="N3" s="34"/>
    </row>
    <row r="4">
      <c r="A4" s="32">
        <v>45586.0</v>
      </c>
      <c r="B4" s="30" t="s">
        <v>114</v>
      </c>
      <c r="C4" s="30" t="s">
        <v>115</v>
      </c>
      <c r="D4" s="33" t="s">
        <v>116</v>
      </c>
      <c r="E4" s="34">
        <v>0.071</v>
      </c>
      <c r="F4" s="34">
        <v>10.0</v>
      </c>
      <c r="G4" s="34">
        <f t="shared" si="1"/>
        <v>0.71</v>
      </c>
      <c r="H4" s="20" t="s">
        <v>109</v>
      </c>
      <c r="I4" s="30"/>
      <c r="J4" s="30"/>
      <c r="K4" s="35"/>
      <c r="L4" s="34"/>
      <c r="M4" s="34"/>
      <c r="N4" s="34"/>
    </row>
    <row r="5">
      <c r="A5" s="32">
        <v>45586.0</v>
      </c>
      <c r="B5" s="30" t="s">
        <v>117</v>
      </c>
      <c r="C5" s="30" t="s">
        <v>118</v>
      </c>
      <c r="D5" s="33" t="s">
        <v>119</v>
      </c>
      <c r="E5" s="34">
        <v>0.046</v>
      </c>
      <c r="F5" s="34">
        <v>10.0</v>
      </c>
      <c r="G5" s="34">
        <f t="shared" si="1"/>
        <v>0.46</v>
      </c>
      <c r="H5" s="20" t="s">
        <v>120</v>
      </c>
      <c r="I5" s="30" t="s">
        <v>117</v>
      </c>
      <c r="J5" s="30" t="s">
        <v>118</v>
      </c>
      <c r="K5" s="33" t="s">
        <v>121</v>
      </c>
      <c r="L5" s="34">
        <v>0.05</v>
      </c>
      <c r="M5" s="34">
        <v>10.0</v>
      </c>
      <c r="N5" s="34">
        <f t="shared" ref="N5:N11" si="2">L5*M5</f>
        <v>0.5</v>
      </c>
    </row>
    <row r="6">
      <c r="A6" s="32">
        <v>45586.0</v>
      </c>
      <c r="B6" s="30" t="s">
        <v>122</v>
      </c>
      <c r="C6" s="30" t="s">
        <v>123</v>
      </c>
      <c r="D6" s="33" t="s">
        <v>124</v>
      </c>
      <c r="E6" s="34">
        <v>0.129</v>
      </c>
      <c r="F6" s="34">
        <v>10.0</v>
      </c>
      <c r="G6" s="34">
        <f t="shared" si="1"/>
        <v>1.29</v>
      </c>
      <c r="I6" s="30" t="s">
        <v>122</v>
      </c>
      <c r="J6" s="30" t="s">
        <v>123</v>
      </c>
      <c r="K6" s="33" t="s">
        <v>125</v>
      </c>
      <c r="L6" s="34">
        <v>0.11</v>
      </c>
      <c r="M6" s="34">
        <v>10.0</v>
      </c>
      <c r="N6" s="34">
        <f t="shared" si="2"/>
        <v>1.1</v>
      </c>
    </row>
    <row r="7">
      <c r="A7" s="32">
        <v>45586.0</v>
      </c>
      <c r="B7" s="20" t="s">
        <v>126</v>
      </c>
      <c r="C7" s="30" t="s">
        <v>127</v>
      </c>
      <c r="D7" s="33" t="s">
        <v>128</v>
      </c>
      <c r="E7" s="34">
        <v>0.039</v>
      </c>
      <c r="F7" s="34">
        <v>10.0</v>
      </c>
      <c r="G7" s="34">
        <f t="shared" si="1"/>
        <v>0.39</v>
      </c>
      <c r="I7" s="20" t="s">
        <v>126</v>
      </c>
      <c r="J7" s="30" t="s">
        <v>127</v>
      </c>
      <c r="K7" s="33" t="s">
        <v>129</v>
      </c>
      <c r="L7" s="34">
        <v>0.025</v>
      </c>
      <c r="M7" s="34">
        <v>10.0</v>
      </c>
      <c r="N7" s="34">
        <f t="shared" si="2"/>
        <v>0.25</v>
      </c>
    </row>
    <row r="8">
      <c r="A8" s="32">
        <v>45586.0</v>
      </c>
      <c r="B8" s="30" t="s">
        <v>130</v>
      </c>
      <c r="C8" s="30" t="s">
        <v>131</v>
      </c>
      <c r="D8" s="33" t="s">
        <v>132</v>
      </c>
      <c r="E8" s="34">
        <v>0.016</v>
      </c>
      <c r="F8" s="34">
        <v>10.0</v>
      </c>
      <c r="G8" s="34">
        <f t="shared" si="1"/>
        <v>0.16</v>
      </c>
      <c r="I8" s="30" t="s">
        <v>130</v>
      </c>
      <c r="J8" s="30" t="s">
        <v>131</v>
      </c>
      <c r="K8" s="33" t="s">
        <v>133</v>
      </c>
      <c r="L8" s="34">
        <v>0.14</v>
      </c>
      <c r="M8" s="34">
        <v>10.0</v>
      </c>
      <c r="N8" s="34">
        <f t="shared" si="2"/>
        <v>1.4</v>
      </c>
    </row>
    <row r="9">
      <c r="A9" s="32">
        <v>45586.0</v>
      </c>
      <c r="B9" s="30" t="s">
        <v>134</v>
      </c>
      <c r="C9" s="30" t="s">
        <v>135</v>
      </c>
      <c r="D9" s="33" t="s">
        <v>136</v>
      </c>
      <c r="E9" s="34">
        <v>0.013</v>
      </c>
      <c r="F9" s="34">
        <v>10.0</v>
      </c>
      <c r="G9" s="34">
        <f t="shared" si="1"/>
        <v>0.13</v>
      </c>
      <c r="I9" s="30" t="s">
        <v>134</v>
      </c>
      <c r="J9" s="30" t="s">
        <v>135</v>
      </c>
      <c r="K9" s="33" t="s">
        <v>137</v>
      </c>
      <c r="L9" s="34">
        <v>0.007</v>
      </c>
      <c r="M9" s="34">
        <v>10.0</v>
      </c>
      <c r="N9" s="34">
        <f t="shared" si="2"/>
        <v>0.07</v>
      </c>
    </row>
    <row r="10">
      <c r="A10" s="32">
        <v>45586.0</v>
      </c>
      <c r="B10" s="30" t="s">
        <v>138</v>
      </c>
      <c r="C10" s="30" t="s">
        <v>139</v>
      </c>
      <c r="D10" s="33" t="s">
        <v>140</v>
      </c>
      <c r="E10" s="34">
        <v>0.016</v>
      </c>
      <c r="F10" s="34">
        <v>10.0</v>
      </c>
      <c r="G10" s="34">
        <f t="shared" si="1"/>
        <v>0.16</v>
      </c>
      <c r="I10" s="30" t="s">
        <v>138</v>
      </c>
      <c r="J10" s="30" t="s">
        <v>139</v>
      </c>
      <c r="K10" s="33" t="s">
        <v>141</v>
      </c>
      <c r="L10" s="34">
        <v>0.012</v>
      </c>
      <c r="M10" s="34">
        <v>10.0</v>
      </c>
      <c r="N10" s="34">
        <f t="shared" si="2"/>
        <v>0.12</v>
      </c>
    </row>
    <row r="11">
      <c r="A11" s="32">
        <v>45586.0</v>
      </c>
      <c r="B11" s="30" t="s">
        <v>142</v>
      </c>
      <c r="C11" s="30" t="s">
        <v>143</v>
      </c>
      <c r="D11" s="36" t="s">
        <v>144</v>
      </c>
      <c r="E11" s="34">
        <v>0.039</v>
      </c>
      <c r="F11" s="34">
        <v>10.0</v>
      </c>
      <c r="G11" s="34">
        <f t="shared" si="1"/>
        <v>0.39</v>
      </c>
      <c r="H11" s="20" t="s">
        <v>120</v>
      </c>
      <c r="I11" s="30" t="s">
        <v>142</v>
      </c>
      <c r="J11" s="30" t="s">
        <v>143</v>
      </c>
      <c r="K11" s="37" t="s">
        <v>145</v>
      </c>
      <c r="L11" s="34">
        <v>0.025</v>
      </c>
      <c r="M11" s="34">
        <v>10.0</v>
      </c>
      <c r="N11" s="34">
        <f t="shared" si="2"/>
        <v>0.25</v>
      </c>
    </row>
    <row r="12">
      <c r="A12" s="32">
        <v>45586.0</v>
      </c>
      <c r="B12" s="30" t="s">
        <v>146</v>
      </c>
      <c r="C12" s="30" t="s">
        <v>147</v>
      </c>
      <c r="D12" s="33" t="s">
        <v>148</v>
      </c>
      <c r="E12" s="34">
        <v>0.21</v>
      </c>
      <c r="F12" s="34">
        <v>10.0</v>
      </c>
      <c r="G12" s="34">
        <f t="shared" si="1"/>
        <v>2.1</v>
      </c>
      <c r="H12" s="20" t="s">
        <v>149</v>
      </c>
      <c r="I12" s="30"/>
      <c r="J12" s="30"/>
      <c r="K12" s="35"/>
      <c r="L12" s="34"/>
      <c r="M12" s="34"/>
      <c r="N12" s="34"/>
    </row>
    <row r="13">
      <c r="A13" s="32">
        <v>45586.0</v>
      </c>
      <c r="B13" s="30" t="s">
        <v>150</v>
      </c>
      <c r="C13" s="30" t="s">
        <v>151</v>
      </c>
      <c r="D13" s="33" t="s">
        <v>152</v>
      </c>
      <c r="E13" s="34">
        <v>0.056</v>
      </c>
      <c r="F13" s="34">
        <v>10.0</v>
      </c>
      <c r="G13" s="34">
        <f t="shared" si="1"/>
        <v>0.56</v>
      </c>
      <c r="I13" s="30" t="s">
        <v>150</v>
      </c>
      <c r="J13" s="30" t="s">
        <v>151</v>
      </c>
      <c r="K13" s="33" t="s">
        <v>153</v>
      </c>
      <c r="L13" s="34">
        <v>0.037</v>
      </c>
      <c r="M13" s="34">
        <v>10.0</v>
      </c>
      <c r="N13" s="34">
        <f>L13*M13</f>
        <v>0.37</v>
      </c>
    </row>
    <row r="14">
      <c r="A14" s="32">
        <v>45586.0</v>
      </c>
      <c r="B14" s="30" t="s">
        <v>21</v>
      </c>
      <c r="C14" s="30" t="s">
        <v>154</v>
      </c>
      <c r="D14" s="33" t="s">
        <v>22</v>
      </c>
      <c r="E14" s="34">
        <v>0.79</v>
      </c>
      <c r="F14" s="34">
        <v>4.0</v>
      </c>
      <c r="G14" s="34">
        <f t="shared" si="1"/>
        <v>3.16</v>
      </c>
      <c r="H14" s="20" t="s">
        <v>155</v>
      </c>
      <c r="I14" s="30"/>
      <c r="J14" s="30"/>
      <c r="K14" s="35"/>
      <c r="L14" s="34"/>
      <c r="M14" s="34"/>
      <c r="N14" s="34"/>
    </row>
    <row r="15">
      <c r="A15" s="32">
        <v>45586.0</v>
      </c>
      <c r="B15" s="30" t="s">
        <v>156</v>
      </c>
      <c r="C15" s="30" t="s">
        <v>157</v>
      </c>
      <c r="D15" s="33" t="s">
        <v>158</v>
      </c>
      <c r="E15" s="34">
        <v>0.69</v>
      </c>
      <c r="F15" s="34">
        <v>6.0</v>
      </c>
      <c r="G15" s="34">
        <f t="shared" si="1"/>
        <v>4.14</v>
      </c>
      <c r="I15" s="30" t="s">
        <v>156</v>
      </c>
      <c r="J15" s="30" t="s">
        <v>157</v>
      </c>
      <c r="K15" s="33" t="s">
        <v>159</v>
      </c>
      <c r="L15" s="34">
        <v>0.432</v>
      </c>
      <c r="M15" s="34">
        <v>6.0</v>
      </c>
      <c r="N15" s="34">
        <f t="shared" ref="N15:N18" si="3">L15*M15</f>
        <v>2.592</v>
      </c>
    </row>
    <row r="16">
      <c r="A16" s="32">
        <v>45586.0</v>
      </c>
      <c r="B16" s="30" t="s">
        <v>160</v>
      </c>
      <c r="C16" s="30" t="s">
        <v>161</v>
      </c>
      <c r="D16" s="33" t="s">
        <v>162</v>
      </c>
      <c r="E16" s="34">
        <v>1.087</v>
      </c>
      <c r="F16" s="34">
        <v>6.0</v>
      </c>
      <c r="G16" s="34">
        <f t="shared" si="1"/>
        <v>6.522</v>
      </c>
      <c r="H16" s="20" t="s">
        <v>163</v>
      </c>
      <c r="I16" s="30" t="s">
        <v>160</v>
      </c>
      <c r="J16" s="30" t="s">
        <v>161</v>
      </c>
      <c r="K16" s="33" t="s">
        <v>164</v>
      </c>
      <c r="L16" s="34">
        <v>0.921</v>
      </c>
      <c r="M16" s="34">
        <v>6.0</v>
      </c>
      <c r="N16" s="34">
        <f t="shared" si="3"/>
        <v>5.526</v>
      </c>
    </row>
    <row r="17">
      <c r="A17" s="32">
        <v>45586.0</v>
      </c>
      <c r="B17" s="30" t="s">
        <v>165</v>
      </c>
      <c r="C17" s="30" t="s">
        <v>166</v>
      </c>
      <c r="D17" s="33" t="s">
        <v>167</v>
      </c>
      <c r="E17" s="34">
        <v>0.488</v>
      </c>
      <c r="F17" s="34">
        <v>5.0</v>
      </c>
      <c r="G17" s="34">
        <f t="shared" si="1"/>
        <v>2.44</v>
      </c>
      <c r="I17" s="30" t="s">
        <v>165</v>
      </c>
      <c r="J17" s="30" t="s">
        <v>166</v>
      </c>
      <c r="K17" s="33" t="s">
        <v>168</v>
      </c>
      <c r="L17" s="34">
        <v>0.387</v>
      </c>
      <c r="M17" s="34">
        <v>5.0</v>
      </c>
      <c r="N17" s="34">
        <f t="shared" si="3"/>
        <v>1.935</v>
      </c>
    </row>
    <row r="18">
      <c r="A18" s="38"/>
      <c r="B18" s="38"/>
      <c r="C18" s="38"/>
      <c r="D18" s="38"/>
      <c r="E18" s="38"/>
      <c r="F18" s="38"/>
      <c r="G18" s="38"/>
      <c r="I18" s="39" t="s">
        <v>169</v>
      </c>
      <c r="J18" s="20" t="s">
        <v>170</v>
      </c>
      <c r="K18" s="40" t="s">
        <v>171</v>
      </c>
      <c r="L18" s="20">
        <v>0.173</v>
      </c>
      <c r="M18" s="20">
        <v>10.0</v>
      </c>
      <c r="N18" s="23">
        <f t="shared" si="3"/>
        <v>1.73</v>
      </c>
    </row>
    <row r="19">
      <c r="G19" s="38">
        <f>SUM(G2:G17)</f>
        <v>24.582</v>
      </c>
    </row>
  </sheetData>
  <hyperlinks>
    <hyperlink r:id="rId1" ref="D2"/>
    <hyperlink r:id="rId2" ref="D3"/>
    <hyperlink r:id="rId3" ref="D4"/>
    <hyperlink r:id="rId4" ref="D5"/>
    <hyperlink r:id="rId5" ref="K5"/>
    <hyperlink r:id="rId6" ref="D6"/>
    <hyperlink r:id="rId7" ref="K6"/>
    <hyperlink r:id="rId8" ref="D7"/>
    <hyperlink r:id="rId9" ref="K7"/>
    <hyperlink r:id="rId10" ref="D8"/>
    <hyperlink r:id="rId11" ref="K8"/>
    <hyperlink r:id="rId12" ref="D9"/>
    <hyperlink r:id="rId13" ref="K9"/>
    <hyperlink r:id="rId14" ref="D10"/>
    <hyperlink r:id="rId15" ref="K10"/>
    <hyperlink r:id="rId16" ref="D11"/>
    <hyperlink r:id="rId17" ref="K11"/>
    <hyperlink r:id="rId18" ref="D12"/>
    <hyperlink r:id="rId19" ref="D13"/>
    <hyperlink r:id="rId20" ref="K13"/>
    <hyperlink r:id="rId21" ref="D14"/>
    <hyperlink r:id="rId22" ref="D15"/>
    <hyperlink r:id="rId23" ref="K15"/>
    <hyperlink r:id="rId24" ref="D16"/>
    <hyperlink r:id="rId25" ref="K16"/>
    <hyperlink r:id="rId26" ref="D17"/>
    <hyperlink r:id="rId27" ref="K17"/>
    <hyperlink r:id="rId28" ref="K18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7.75"/>
    <col customWidth="1" min="4" max="4" width="84.63"/>
  </cols>
  <sheetData>
    <row r="1">
      <c r="A1" s="41" t="s">
        <v>0</v>
      </c>
      <c r="B1" s="41" t="s">
        <v>172</v>
      </c>
      <c r="C1" s="41" t="s">
        <v>173</v>
      </c>
      <c r="D1" s="41" t="s">
        <v>174</v>
      </c>
      <c r="E1" s="41" t="s">
        <v>175</v>
      </c>
      <c r="G1" s="20" t="s">
        <v>176</v>
      </c>
      <c r="I1" s="42" t="s">
        <v>173</v>
      </c>
    </row>
    <row r="2">
      <c r="A2" s="43" t="s">
        <v>177</v>
      </c>
      <c r="B2" s="44" t="s">
        <v>178</v>
      </c>
      <c r="C2" s="44">
        <v>3.0</v>
      </c>
      <c r="D2" s="45" t="s">
        <v>179</v>
      </c>
      <c r="E2" s="46">
        <v>2.4</v>
      </c>
      <c r="F2" s="47"/>
      <c r="I2" s="42" t="s">
        <v>180</v>
      </c>
    </row>
    <row r="3">
      <c r="A3" s="48" t="s">
        <v>181</v>
      </c>
      <c r="B3" s="20" t="s">
        <v>182</v>
      </c>
      <c r="C3" s="20">
        <v>3.0</v>
      </c>
      <c r="D3" s="40" t="s">
        <v>183</v>
      </c>
      <c r="E3" s="49">
        <v>1.11</v>
      </c>
      <c r="F3" s="47"/>
      <c r="I3" s="42" t="s">
        <v>184</v>
      </c>
    </row>
    <row r="4">
      <c r="A4" s="50" t="s">
        <v>185</v>
      </c>
      <c r="B4" s="20" t="s">
        <v>186</v>
      </c>
      <c r="C4" s="20">
        <v>10.0</v>
      </c>
      <c r="D4" s="40" t="s">
        <v>187</v>
      </c>
      <c r="E4" s="49">
        <v>1.54</v>
      </c>
      <c r="F4" s="47"/>
      <c r="I4" s="42" t="s">
        <v>188</v>
      </c>
    </row>
    <row r="5">
      <c r="A5" s="48" t="s">
        <v>189</v>
      </c>
      <c r="B5" s="20" t="s">
        <v>186</v>
      </c>
      <c r="C5" s="20">
        <v>10.0</v>
      </c>
      <c r="D5" s="40" t="s">
        <v>190</v>
      </c>
      <c r="E5" s="49">
        <v>2.69</v>
      </c>
      <c r="F5" s="47"/>
      <c r="I5" s="42" t="s">
        <v>191</v>
      </c>
    </row>
    <row r="6">
      <c r="A6" s="48" t="s">
        <v>192</v>
      </c>
      <c r="B6" s="20" t="s">
        <v>193</v>
      </c>
      <c r="C6" s="20">
        <v>10.0</v>
      </c>
      <c r="D6" s="40" t="s">
        <v>194</v>
      </c>
      <c r="E6" s="49">
        <v>4.1</v>
      </c>
      <c r="F6" s="47"/>
      <c r="I6" s="42" t="s">
        <v>188</v>
      </c>
    </row>
    <row r="7">
      <c r="A7" s="48" t="s">
        <v>195</v>
      </c>
      <c r="B7" s="20" t="s">
        <v>193</v>
      </c>
      <c r="C7" s="20">
        <v>10.0</v>
      </c>
      <c r="D7" s="40" t="s">
        <v>196</v>
      </c>
      <c r="E7" s="49">
        <v>1.78</v>
      </c>
      <c r="F7" s="47"/>
      <c r="I7" s="42" t="s">
        <v>191</v>
      </c>
    </row>
    <row r="8">
      <c r="A8" s="48">
        <v>6.1300311121E10</v>
      </c>
      <c r="B8" s="20" t="s">
        <v>197</v>
      </c>
      <c r="C8" s="20">
        <v>10.0</v>
      </c>
      <c r="D8" s="40" t="s">
        <v>198</v>
      </c>
      <c r="E8" s="49">
        <v>1.13</v>
      </c>
      <c r="F8" s="47"/>
      <c r="I8" s="42" t="s">
        <v>199</v>
      </c>
    </row>
    <row r="9">
      <c r="A9" s="48">
        <v>6.1001221121E10</v>
      </c>
      <c r="B9" s="20" t="s">
        <v>200</v>
      </c>
      <c r="C9" s="20">
        <v>1.0</v>
      </c>
      <c r="D9" s="40" t="s">
        <v>201</v>
      </c>
      <c r="E9" s="49">
        <v>2.49</v>
      </c>
      <c r="F9" s="47"/>
      <c r="I9" s="42" t="s">
        <v>202</v>
      </c>
    </row>
    <row r="10">
      <c r="A10" s="48">
        <v>6.1001021121E10</v>
      </c>
      <c r="B10" s="20" t="s">
        <v>203</v>
      </c>
      <c r="C10" s="20">
        <v>1.0</v>
      </c>
      <c r="D10" s="40" t="s">
        <v>204</v>
      </c>
      <c r="E10" s="49">
        <v>2.01</v>
      </c>
      <c r="F10" s="47"/>
      <c r="I10" s="42" t="s">
        <v>202</v>
      </c>
    </row>
    <row r="11">
      <c r="A11" s="48">
        <v>6.1301421121E10</v>
      </c>
      <c r="B11" s="20" t="s">
        <v>205</v>
      </c>
      <c r="C11" s="20">
        <v>2.0</v>
      </c>
      <c r="D11" s="40" t="s">
        <v>206</v>
      </c>
      <c r="E11" s="49">
        <v>1.92</v>
      </c>
      <c r="F11" s="47"/>
      <c r="I11" s="42" t="s">
        <v>207</v>
      </c>
    </row>
    <row r="12">
      <c r="A12" s="48">
        <v>6.1000621121E10</v>
      </c>
      <c r="B12" s="20" t="s">
        <v>208</v>
      </c>
      <c r="C12" s="20">
        <v>2.0</v>
      </c>
      <c r="D12" s="40" t="s">
        <v>209</v>
      </c>
      <c r="E12" s="49">
        <v>2.1</v>
      </c>
      <c r="F12" s="47"/>
      <c r="I12" s="42" t="s">
        <v>207</v>
      </c>
    </row>
    <row r="13">
      <c r="A13" s="48" t="s">
        <v>210</v>
      </c>
      <c r="B13" s="20" t="s">
        <v>211</v>
      </c>
      <c r="C13" s="20">
        <v>10.0</v>
      </c>
      <c r="D13" s="40" t="s">
        <v>212</v>
      </c>
      <c r="E13" s="49">
        <v>3.84</v>
      </c>
      <c r="F13" s="47"/>
      <c r="I13" s="42" t="s">
        <v>213</v>
      </c>
    </row>
    <row r="14">
      <c r="A14" s="48" t="s">
        <v>214</v>
      </c>
      <c r="B14" s="20" t="s">
        <v>186</v>
      </c>
      <c r="C14" s="20">
        <v>10.0</v>
      </c>
      <c r="D14" s="51" t="s">
        <v>215</v>
      </c>
      <c r="E14" s="49">
        <v>1.01</v>
      </c>
      <c r="F14" s="47"/>
      <c r="I14" s="42" t="s">
        <v>188</v>
      </c>
    </row>
    <row r="15">
      <c r="A15" s="48" t="s">
        <v>216</v>
      </c>
      <c r="B15" s="20" t="s">
        <v>186</v>
      </c>
      <c r="C15" s="20">
        <v>10.0</v>
      </c>
      <c r="D15" s="51" t="s">
        <v>217</v>
      </c>
      <c r="E15" s="49">
        <v>1.01</v>
      </c>
      <c r="F15" s="47"/>
      <c r="I15" s="42" t="s">
        <v>213</v>
      </c>
    </row>
    <row r="16">
      <c r="A16" s="48" t="s">
        <v>218</v>
      </c>
      <c r="B16" s="20" t="s">
        <v>186</v>
      </c>
      <c r="C16" s="20">
        <v>10.0</v>
      </c>
      <c r="D16" s="51" t="s">
        <v>219</v>
      </c>
      <c r="E16" s="49">
        <v>1.01</v>
      </c>
      <c r="F16" s="47"/>
      <c r="I16" s="42" t="s">
        <v>220</v>
      </c>
    </row>
    <row r="17">
      <c r="A17" s="48" t="s">
        <v>221</v>
      </c>
      <c r="B17" s="20" t="s">
        <v>186</v>
      </c>
      <c r="C17" s="20">
        <v>10.0</v>
      </c>
      <c r="D17" s="51" t="s">
        <v>222</v>
      </c>
      <c r="E17" s="49">
        <v>1.01</v>
      </c>
      <c r="F17" s="47"/>
      <c r="I17" s="42" t="s">
        <v>188</v>
      </c>
    </row>
    <row r="18">
      <c r="A18" s="48" t="s">
        <v>223</v>
      </c>
      <c r="B18" s="20" t="s">
        <v>186</v>
      </c>
      <c r="C18" s="20">
        <v>10.0</v>
      </c>
      <c r="D18" s="40" t="s">
        <v>224</v>
      </c>
      <c r="E18" s="49">
        <v>1.01</v>
      </c>
      <c r="F18" s="47"/>
      <c r="I18" s="42" t="s">
        <v>191</v>
      </c>
    </row>
    <row r="19">
      <c r="A19" s="48" t="s">
        <v>225</v>
      </c>
      <c r="B19" s="20" t="s">
        <v>193</v>
      </c>
      <c r="C19" s="20">
        <v>10.0</v>
      </c>
      <c r="D19" s="40" t="s">
        <v>226</v>
      </c>
      <c r="E19" s="49">
        <v>5.94</v>
      </c>
      <c r="F19" s="47"/>
      <c r="I19" s="42" t="s">
        <v>191</v>
      </c>
    </row>
    <row r="20">
      <c r="A20" s="48" t="s">
        <v>227</v>
      </c>
      <c r="B20" s="20" t="s">
        <v>193</v>
      </c>
      <c r="C20" s="20">
        <v>10.0</v>
      </c>
      <c r="D20" s="40" t="s">
        <v>228</v>
      </c>
      <c r="E20" s="49">
        <v>0.34</v>
      </c>
      <c r="F20" s="47" t="s">
        <v>229</v>
      </c>
      <c r="I20" s="42" t="s">
        <v>191</v>
      </c>
    </row>
    <row r="21">
      <c r="A21" s="48" t="s">
        <v>230</v>
      </c>
      <c r="B21" s="20" t="s">
        <v>193</v>
      </c>
      <c r="C21" s="20">
        <v>10.0</v>
      </c>
      <c r="D21" s="40" t="s">
        <v>231</v>
      </c>
      <c r="E21" s="49">
        <v>2.91</v>
      </c>
      <c r="F21" s="47" t="s">
        <v>232</v>
      </c>
      <c r="I21" s="42" t="s">
        <v>191</v>
      </c>
    </row>
    <row r="22">
      <c r="A22" s="52" t="s">
        <v>233</v>
      </c>
      <c r="B22" s="53" t="s">
        <v>234</v>
      </c>
      <c r="C22" s="53">
        <v>10.0</v>
      </c>
      <c r="D22" s="54" t="s">
        <v>235</v>
      </c>
      <c r="E22" s="55">
        <v>12.47</v>
      </c>
      <c r="G22" s="56">
        <f>SUM(E2:E22)</f>
        <v>53.82</v>
      </c>
      <c r="I22" s="42" t="s">
        <v>191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2.5"/>
    <col customWidth="1" min="3" max="3" width="19.25"/>
  </cols>
  <sheetData>
    <row r="1">
      <c r="A1" s="30" t="s">
        <v>100</v>
      </c>
      <c r="B1" s="30" t="s">
        <v>0</v>
      </c>
      <c r="C1" s="30" t="s">
        <v>101</v>
      </c>
      <c r="D1" s="30" t="s">
        <v>102</v>
      </c>
      <c r="E1" s="30" t="s">
        <v>103</v>
      </c>
      <c r="F1" s="30" t="s">
        <v>104</v>
      </c>
      <c r="G1" s="30" t="s">
        <v>105</v>
      </c>
      <c r="H1" s="57"/>
    </row>
    <row r="2">
      <c r="A2" s="32">
        <v>45589.0</v>
      </c>
      <c r="B2" s="58" t="s">
        <v>106</v>
      </c>
      <c r="C2" s="58" t="s">
        <v>107</v>
      </c>
      <c r="D2" s="59" t="s">
        <v>236</v>
      </c>
      <c r="E2" s="34">
        <v>0.069</v>
      </c>
      <c r="F2" s="34">
        <v>10.0</v>
      </c>
      <c r="G2" s="34">
        <f t="shared" ref="G2:G17" si="1">E2*F2</f>
        <v>0.69</v>
      </c>
      <c r="H2" s="57"/>
    </row>
    <row r="3">
      <c r="A3" s="32">
        <v>45589.0</v>
      </c>
      <c r="B3" s="58" t="s">
        <v>110</v>
      </c>
      <c r="C3" s="58" t="s">
        <v>111</v>
      </c>
      <c r="D3" s="59" t="s">
        <v>237</v>
      </c>
      <c r="E3" s="34">
        <v>0.32</v>
      </c>
      <c r="F3" s="34">
        <v>4.0</v>
      </c>
      <c r="G3" s="34">
        <f t="shared" si="1"/>
        <v>1.28</v>
      </c>
      <c r="H3" s="57"/>
    </row>
    <row r="4">
      <c r="A4" s="32">
        <v>45589.0</v>
      </c>
      <c r="B4" s="58" t="s">
        <v>114</v>
      </c>
      <c r="C4" s="58" t="s">
        <v>115</v>
      </c>
      <c r="D4" s="59" t="s">
        <v>238</v>
      </c>
      <c r="E4" s="34">
        <v>0.071</v>
      </c>
      <c r="F4" s="34">
        <v>10.0</v>
      </c>
      <c r="G4" s="34">
        <f t="shared" si="1"/>
        <v>0.71</v>
      </c>
      <c r="H4" s="57"/>
    </row>
    <row r="5">
      <c r="A5" s="32">
        <v>45589.0</v>
      </c>
      <c r="B5" s="58" t="s">
        <v>117</v>
      </c>
      <c r="C5" s="58" t="s">
        <v>118</v>
      </c>
      <c r="D5" s="59" t="s">
        <v>239</v>
      </c>
      <c r="E5" s="34">
        <v>0.046</v>
      </c>
      <c r="F5" s="34">
        <v>10.0</v>
      </c>
      <c r="G5" s="34">
        <f t="shared" si="1"/>
        <v>0.46</v>
      </c>
      <c r="H5" s="57"/>
    </row>
    <row r="6">
      <c r="A6" s="32">
        <v>45589.0</v>
      </c>
      <c r="B6" s="58" t="s">
        <v>122</v>
      </c>
      <c r="C6" s="58" t="s">
        <v>123</v>
      </c>
      <c r="D6" s="59" t="s">
        <v>240</v>
      </c>
      <c r="E6" s="34">
        <v>0.129</v>
      </c>
      <c r="F6" s="34">
        <v>10.0</v>
      </c>
      <c r="G6" s="34">
        <f t="shared" si="1"/>
        <v>1.29</v>
      </c>
      <c r="H6" s="57"/>
    </row>
    <row r="7">
      <c r="A7" s="32">
        <v>45589.0</v>
      </c>
      <c r="B7" s="60" t="s">
        <v>126</v>
      </c>
      <c r="C7" s="58" t="s">
        <v>127</v>
      </c>
      <c r="D7" s="59" t="s">
        <v>128</v>
      </c>
      <c r="E7" s="34">
        <v>0.039</v>
      </c>
      <c r="F7" s="34">
        <v>10.0</v>
      </c>
      <c r="G7" s="34">
        <f t="shared" si="1"/>
        <v>0.39</v>
      </c>
      <c r="H7" s="57"/>
    </row>
    <row r="8">
      <c r="A8" s="32">
        <v>45589.0</v>
      </c>
      <c r="B8" s="58" t="s">
        <v>241</v>
      </c>
      <c r="C8" s="58" t="s">
        <v>242</v>
      </c>
      <c r="D8" s="61" t="s">
        <v>243</v>
      </c>
      <c r="E8" s="34">
        <v>0.016</v>
      </c>
      <c r="F8" s="34">
        <v>10.0</v>
      </c>
      <c r="G8" s="34">
        <f t="shared" si="1"/>
        <v>0.16</v>
      </c>
      <c r="H8" s="57"/>
    </row>
    <row r="9">
      <c r="A9" s="32">
        <v>45589.0</v>
      </c>
      <c r="B9" s="58" t="s">
        <v>134</v>
      </c>
      <c r="C9" s="58" t="s">
        <v>135</v>
      </c>
      <c r="D9" s="59" t="s">
        <v>244</v>
      </c>
      <c r="E9" s="34">
        <v>0.013</v>
      </c>
      <c r="F9" s="34">
        <v>10.0</v>
      </c>
      <c r="G9" s="34">
        <f t="shared" si="1"/>
        <v>0.13</v>
      </c>
      <c r="H9" s="57"/>
    </row>
    <row r="10">
      <c r="A10" s="32">
        <v>45589.0</v>
      </c>
      <c r="B10" s="58" t="s">
        <v>138</v>
      </c>
      <c r="C10" s="58" t="s">
        <v>139</v>
      </c>
      <c r="D10" s="59" t="s">
        <v>140</v>
      </c>
      <c r="E10" s="34">
        <v>0.016</v>
      </c>
      <c r="F10" s="34">
        <v>10.0</v>
      </c>
      <c r="G10" s="34">
        <f t="shared" si="1"/>
        <v>0.16</v>
      </c>
      <c r="H10" s="57"/>
    </row>
    <row r="11">
      <c r="A11" s="32">
        <v>45589.0</v>
      </c>
      <c r="B11" s="58" t="s">
        <v>142</v>
      </c>
      <c r="C11" s="58" t="s">
        <v>143</v>
      </c>
      <c r="D11" s="61" t="s">
        <v>144</v>
      </c>
      <c r="E11" s="34">
        <v>0.039</v>
      </c>
      <c r="F11" s="34">
        <v>10.0</v>
      </c>
      <c r="G11" s="34">
        <f t="shared" si="1"/>
        <v>0.39</v>
      </c>
      <c r="H11" s="57"/>
    </row>
    <row r="12">
      <c r="A12" s="32">
        <v>45589.0</v>
      </c>
      <c r="B12" s="58" t="s">
        <v>146</v>
      </c>
      <c r="C12" s="58" t="s">
        <v>147</v>
      </c>
      <c r="D12" s="59" t="s">
        <v>245</v>
      </c>
      <c r="E12" s="34">
        <v>0.21</v>
      </c>
      <c r="F12" s="34">
        <v>10.0</v>
      </c>
      <c r="G12" s="34">
        <f t="shared" si="1"/>
        <v>2.1</v>
      </c>
      <c r="H12" s="57"/>
    </row>
    <row r="13">
      <c r="A13" s="32">
        <v>45589.0</v>
      </c>
      <c r="B13" s="58" t="s">
        <v>150</v>
      </c>
      <c r="C13" s="58" t="s">
        <v>151</v>
      </c>
      <c r="D13" s="59" t="s">
        <v>152</v>
      </c>
      <c r="E13" s="34">
        <v>0.056</v>
      </c>
      <c r="F13" s="34">
        <v>10.0</v>
      </c>
      <c r="G13" s="34">
        <f t="shared" si="1"/>
        <v>0.56</v>
      </c>
      <c r="H13" s="57"/>
    </row>
    <row r="14">
      <c r="A14" s="32">
        <v>45589.0</v>
      </c>
      <c r="B14" s="58" t="s">
        <v>21</v>
      </c>
      <c r="C14" s="58" t="s">
        <v>154</v>
      </c>
      <c r="D14" s="59" t="s">
        <v>22</v>
      </c>
      <c r="E14" s="34">
        <v>0.79</v>
      </c>
      <c r="F14" s="34">
        <v>4.0</v>
      </c>
      <c r="G14" s="34">
        <f t="shared" si="1"/>
        <v>3.16</v>
      </c>
      <c r="H14" s="57"/>
    </row>
    <row r="15">
      <c r="A15" s="32">
        <v>45589.0</v>
      </c>
      <c r="B15" s="58" t="s">
        <v>156</v>
      </c>
      <c r="C15" s="58" t="s">
        <v>157</v>
      </c>
      <c r="D15" s="59" t="s">
        <v>246</v>
      </c>
      <c r="E15" s="34">
        <v>0.69</v>
      </c>
      <c r="F15" s="34">
        <v>6.0</v>
      </c>
      <c r="G15" s="34">
        <f t="shared" si="1"/>
        <v>4.14</v>
      </c>
      <c r="H15" s="57"/>
    </row>
    <row r="16">
      <c r="A16" s="32">
        <v>45589.0</v>
      </c>
      <c r="B16" s="62" t="s">
        <v>160</v>
      </c>
      <c r="C16" s="62" t="s">
        <v>161</v>
      </c>
      <c r="D16" s="59" t="s">
        <v>247</v>
      </c>
      <c r="E16" s="34">
        <v>1.47</v>
      </c>
      <c r="F16" s="34">
        <v>6.0</v>
      </c>
      <c r="G16" s="34">
        <f t="shared" si="1"/>
        <v>8.82</v>
      </c>
      <c r="H16" s="57"/>
    </row>
    <row r="17">
      <c r="A17" s="32">
        <v>45589.0</v>
      </c>
      <c r="B17" s="62" t="s">
        <v>165</v>
      </c>
      <c r="C17" s="62" t="s">
        <v>166</v>
      </c>
      <c r="D17" s="59" t="s">
        <v>168</v>
      </c>
      <c r="E17" s="34">
        <v>0.379</v>
      </c>
      <c r="F17" s="34">
        <v>10.0</v>
      </c>
      <c r="G17" s="34">
        <f t="shared" si="1"/>
        <v>3.79</v>
      </c>
      <c r="H17" s="57"/>
    </row>
    <row r="18">
      <c r="A18" s="32">
        <v>45589.0</v>
      </c>
      <c r="B18" s="63" t="s">
        <v>5</v>
      </c>
      <c r="C18" s="60" t="s">
        <v>193</v>
      </c>
      <c r="D18" s="64" t="s">
        <v>6</v>
      </c>
      <c r="E18" s="65">
        <f t="shared" ref="E18:E58" si="2">G18/F18</f>
        <v>0.15</v>
      </c>
      <c r="F18" s="66">
        <v>2.0</v>
      </c>
      <c r="G18" s="67">
        <v>0.3</v>
      </c>
      <c r="H18" s="57"/>
    </row>
    <row r="19">
      <c r="A19" s="32">
        <v>45589.0</v>
      </c>
      <c r="B19" s="63" t="s">
        <v>7</v>
      </c>
      <c r="C19" s="60" t="s">
        <v>193</v>
      </c>
      <c r="D19" s="64" t="s">
        <v>8</v>
      </c>
      <c r="E19" s="65">
        <f t="shared" si="2"/>
        <v>0.031</v>
      </c>
      <c r="F19" s="66">
        <v>10.0</v>
      </c>
      <c r="G19" s="67">
        <v>0.31</v>
      </c>
      <c r="H19" s="57"/>
    </row>
    <row r="20">
      <c r="A20" s="32">
        <v>45589.0</v>
      </c>
      <c r="B20" s="63" t="s">
        <v>9</v>
      </c>
      <c r="C20" s="60" t="s">
        <v>193</v>
      </c>
      <c r="D20" s="68" t="s">
        <v>10</v>
      </c>
      <c r="E20" s="65">
        <f t="shared" si="2"/>
        <v>0.36</v>
      </c>
      <c r="F20" s="66">
        <v>4.0</v>
      </c>
      <c r="G20" s="69">
        <v>1.44</v>
      </c>
      <c r="H20" s="57"/>
    </row>
    <row r="21">
      <c r="A21" s="32">
        <v>45589.0</v>
      </c>
      <c r="B21" s="63" t="s">
        <v>11</v>
      </c>
      <c r="C21" s="60" t="s">
        <v>193</v>
      </c>
      <c r="D21" s="64" t="s">
        <v>12</v>
      </c>
      <c r="E21" s="65">
        <f t="shared" si="2"/>
        <v>0.035</v>
      </c>
      <c r="F21" s="66">
        <v>10.0</v>
      </c>
      <c r="G21" s="70">
        <v>0.35</v>
      </c>
      <c r="H21" s="57"/>
    </row>
    <row r="22">
      <c r="A22" s="32">
        <v>45589.0</v>
      </c>
      <c r="B22" s="63" t="s">
        <v>13</v>
      </c>
      <c r="C22" s="60" t="s">
        <v>193</v>
      </c>
      <c r="D22" s="64" t="s">
        <v>14</v>
      </c>
      <c r="E22" s="65">
        <f t="shared" si="2"/>
        <v>0.32</v>
      </c>
      <c r="F22" s="66">
        <v>3.0</v>
      </c>
      <c r="G22" s="71">
        <v>0.96</v>
      </c>
      <c r="H22" s="57"/>
    </row>
    <row r="23">
      <c r="A23" s="32">
        <v>45589.0</v>
      </c>
      <c r="B23" s="63" t="s">
        <v>15</v>
      </c>
      <c r="C23" s="60" t="s">
        <v>193</v>
      </c>
      <c r="D23" s="64" t="s">
        <v>16</v>
      </c>
      <c r="E23" s="65">
        <f t="shared" si="2"/>
        <v>0.2</v>
      </c>
      <c r="F23" s="66">
        <v>3.0</v>
      </c>
      <c r="G23" s="69">
        <v>0.6</v>
      </c>
      <c r="H23" s="57"/>
    </row>
    <row r="24">
      <c r="A24" s="32">
        <v>45589.0</v>
      </c>
      <c r="B24" s="63" t="s">
        <v>17</v>
      </c>
      <c r="C24" s="60" t="s">
        <v>248</v>
      </c>
      <c r="D24" s="72" t="s">
        <v>18</v>
      </c>
      <c r="E24" s="65">
        <f t="shared" si="2"/>
        <v>0.116</v>
      </c>
      <c r="F24" s="66">
        <v>10.0</v>
      </c>
      <c r="G24" s="69">
        <v>1.16</v>
      </c>
      <c r="H24" s="57"/>
    </row>
    <row r="25">
      <c r="A25" s="32">
        <v>45589.0</v>
      </c>
      <c r="B25" s="63" t="s">
        <v>19</v>
      </c>
      <c r="C25" s="60" t="s">
        <v>186</v>
      </c>
      <c r="D25" s="63" t="s">
        <v>20</v>
      </c>
      <c r="E25" s="65">
        <f t="shared" si="2"/>
        <v>0.58</v>
      </c>
      <c r="F25" s="73">
        <v>2.0</v>
      </c>
      <c r="G25" s="74">
        <v>1.16</v>
      </c>
      <c r="H25" s="57"/>
    </row>
    <row r="26">
      <c r="A26" s="32">
        <v>45589.0</v>
      </c>
      <c r="B26" s="63" t="s">
        <v>21</v>
      </c>
      <c r="C26" s="60" t="s">
        <v>249</v>
      </c>
      <c r="D26" s="64" t="s">
        <v>22</v>
      </c>
      <c r="E26" s="65">
        <f t="shared" si="2"/>
        <v>0.79</v>
      </c>
      <c r="F26" s="66">
        <v>2.0</v>
      </c>
      <c r="G26" s="69">
        <v>1.58</v>
      </c>
      <c r="H26" s="57"/>
    </row>
    <row r="27">
      <c r="A27" s="32">
        <v>45589.0</v>
      </c>
      <c r="B27" s="63" t="s">
        <v>23</v>
      </c>
      <c r="C27" s="60" t="s">
        <v>250</v>
      </c>
      <c r="D27" s="64" t="s">
        <v>24</v>
      </c>
      <c r="E27" s="65">
        <f t="shared" si="2"/>
        <v>1.26</v>
      </c>
      <c r="F27" s="66">
        <v>1.0</v>
      </c>
      <c r="G27" s="74">
        <v>1.26</v>
      </c>
      <c r="H27" s="57"/>
    </row>
    <row r="28">
      <c r="A28" s="32">
        <v>45589.0</v>
      </c>
      <c r="B28" s="63" t="s">
        <v>25</v>
      </c>
      <c r="C28" s="60" t="s">
        <v>251</v>
      </c>
      <c r="D28" s="64" t="s">
        <v>26</v>
      </c>
      <c r="E28" s="65">
        <f t="shared" si="2"/>
        <v>0.364</v>
      </c>
      <c r="F28" s="66">
        <v>10.0</v>
      </c>
      <c r="G28" s="69">
        <v>3.64</v>
      </c>
      <c r="H28" s="57"/>
    </row>
    <row r="29">
      <c r="A29" s="32">
        <v>45589.0</v>
      </c>
      <c r="B29" s="63" t="s">
        <v>27</v>
      </c>
      <c r="C29" s="60" t="s">
        <v>252</v>
      </c>
      <c r="D29" s="64" t="s">
        <v>28</v>
      </c>
      <c r="E29" s="65">
        <f t="shared" si="2"/>
        <v>0.24</v>
      </c>
      <c r="F29" s="66">
        <v>5.0</v>
      </c>
      <c r="G29" s="71">
        <f>0.24*5</f>
        <v>1.2</v>
      </c>
      <c r="H29" s="57"/>
    </row>
    <row r="30">
      <c r="A30" s="32">
        <v>45589.0</v>
      </c>
      <c r="B30" s="63" t="s">
        <v>29</v>
      </c>
      <c r="C30" s="60" t="s">
        <v>186</v>
      </c>
      <c r="D30" s="64" t="s">
        <v>30</v>
      </c>
      <c r="E30" s="65">
        <f t="shared" si="2"/>
        <v>1.98</v>
      </c>
      <c r="F30" s="66">
        <v>4.0</v>
      </c>
      <c r="G30" s="70">
        <f>1.98*4</f>
        <v>7.92</v>
      </c>
      <c r="H30" s="57"/>
    </row>
    <row r="31">
      <c r="A31" s="32">
        <v>45589.0</v>
      </c>
      <c r="B31" s="63" t="s">
        <v>31</v>
      </c>
      <c r="C31" s="60" t="s">
        <v>186</v>
      </c>
      <c r="D31" s="64" t="s">
        <v>32</v>
      </c>
      <c r="E31" s="65">
        <f t="shared" si="2"/>
        <v>0.054</v>
      </c>
      <c r="F31" s="66">
        <v>10.0</v>
      </c>
      <c r="G31" s="67">
        <v>0.54</v>
      </c>
      <c r="H31" s="57"/>
    </row>
    <row r="32">
      <c r="A32" s="32">
        <v>45589.0</v>
      </c>
      <c r="B32" s="63" t="s">
        <v>33</v>
      </c>
      <c r="C32" s="60" t="s">
        <v>186</v>
      </c>
      <c r="D32" s="64" t="s">
        <v>34</v>
      </c>
      <c r="E32" s="65">
        <f t="shared" si="2"/>
        <v>0.027</v>
      </c>
      <c r="F32" s="66">
        <v>10.0</v>
      </c>
      <c r="G32" s="75">
        <v>0.27</v>
      </c>
      <c r="H32" s="57"/>
    </row>
    <row r="33">
      <c r="A33" s="32">
        <v>45589.0</v>
      </c>
      <c r="B33" s="63" t="s">
        <v>35</v>
      </c>
      <c r="C33" s="60" t="s">
        <v>186</v>
      </c>
      <c r="D33" s="64" t="s">
        <v>36</v>
      </c>
      <c r="E33" s="65">
        <f t="shared" si="2"/>
        <v>0.012</v>
      </c>
      <c r="F33" s="66">
        <v>10.0</v>
      </c>
      <c r="G33" s="69">
        <v>0.12</v>
      </c>
      <c r="H33" s="57"/>
    </row>
    <row r="34">
      <c r="A34" s="32">
        <v>45589.0</v>
      </c>
      <c r="B34" s="63" t="s">
        <v>37</v>
      </c>
      <c r="C34" s="60" t="s">
        <v>186</v>
      </c>
      <c r="D34" s="72" t="s">
        <v>38</v>
      </c>
      <c r="E34" s="65">
        <f t="shared" si="2"/>
        <v>0.015</v>
      </c>
      <c r="F34" s="66">
        <v>10.0</v>
      </c>
      <c r="G34" s="75">
        <v>0.15</v>
      </c>
      <c r="H34" s="57"/>
    </row>
    <row r="35">
      <c r="A35" s="32">
        <v>45589.0</v>
      </c>
      <c r="B35" s="63" t="s">
        <v>39</v>
      </c>
      <c r="C35" s="60" t="s">
        <v>253</v>
      </c>
      <c r="D35" s="72" t="s">
        <v>40</v>
      </c>
      <c r="E35" s="65">
        <f t="shared" si="2"/>
        <v>0.41</v>
      </c>
      <c r="F35" s="66">
        <v>10.0</v>
      </c>
      <c r="G35" s="69">
        <v>4.1</v>
      </c>
      <c r="H35" s="57"/>
    </row>
    <row r="36">
      <c r="A36" s="32">
        <v>45589.0</v>
      </c>
      <c r="B36" s="63" t="s">
        <v>41</v>
      </c>
      <c r="C36" s="60" t="s">
        <v>254</v>
      </c>
      <c r="D36" s="72" t="s">
        <v>42</v>
      </c>
      <c r="E36" s="65">
        <f t="shared" si="2"/>
        <v>3.47</v>
      </c>
      <c r="F36" s="73">
        <v>1.0</v>
      </c>
      <c r="G36" s="76" t="s">
        <v>43</v>
      </c>
      <c r="H36" s="57"/>
    </row>
    <row r="37">
      <c r="A37" s="32">
        <v>45589.0</v>
      </c>
      <c r="B37" s="64" t="s">
        <v>47</v>
      </c>
      <c r="C37" s="60" t="s">
        <v>255</v>
      </c>
      <c r="D37" s="72" t="s">
        <v>48</v>
      </c>
      <c r="E37" s="65">
        <f t="shared" si="2"/>
        <v>0.31</v>
      </c>
      <c r="F37" s="73">
        <v>10.0</v>
      </c>
      <c r="G37" s="69">
        <v>3.1</v>
      </c>
      <c r="H37" s="57"/>
    </row>
    <row r="38">
      <c r="A38" s="32">
        <v>45589.0</v>
      </c>
      <c r="B38" s="60" t="s">
        <v>177</v>
      </c>
      <c r="C38" s="60" t="s">
        <v>178</v>
      </c>
      <c r="D38" s="72" t="s">
        <v>179</v>
      </c>
      <c r="E38" s="77">
        <f t="shared" si="2"/>
        <v>0.8</v>
      </c>
      <c r="F38" s="66">
        <v>3.0</v>
      </c>
      <c r="G38" s="78">
        <v>2.4</v>
      </c>
      <c r="H38" s="57"/>
    </row>
    <row r="39">
      <c r="A39" s="32">
        <v>45589.0</v>
      </c>
      <c r="B39" s="60" t="s">
        <v>181</v>
      </c>
      <c r="C39" s="60" t="s">
        <v>182</v>
      </c>
      <c r="D39" s="72" t="s">
        <v>183</v>
      </c>
      <c r="E39" s="77">
        <f t="shared" si="2"/>
        <v>0.37</v>
      </c>
      <c r="F39" s="66">
        <v>3.0</v>
      </c>
      <c r="G39" s="78">
        <v>1.11</v>
      </c>
      <c r="H39" s="57"/>
    </row>
    <row r="40">
      <c r="A40" s="32">
        <v>45589.0</v>
      </c>
      <c r="B40" s="60" t="s">
        <v>185</v>
      </c>
      <c r="C40" s="60" t="s">
        <v>186</v>
      </c>
      <c r="D40" s="72" t="s">
        <v>187</v>
      </c>
      <c r="E40" s="77">
        <f t="shared" si="2"/>
        <v>0.154</v>
      </c>
      <c r="F40" s="66">
        <v>10.0</v>
      </c>
      <c r="G40" s="78">
        <v>1.54</v>
      </c>
      <c r="H40" s="57"/>
    </row>
    <row r="41">
      <c r="A41" s="32">
        <v>45589.0</v>
      </c>
      <c r="B41" s="60" t="s">
        <v>189</v>
      </c>
      <c r="C41" s="60" t="s">
        <v>186</v>
      </c>
      <c r="D41" s="72" t="s">
        <v>190</v>
      </c>
      <c r="E41" s="77">
        <f t="shared" si="2"/>
        <v>0.269</v>
      </c>
      <c r="F41" s="66">
        <v>10.0</v>
      </c>
      <c r="G41" s="78">
        <v>2.69</v>
      </c>
      <c r="H41" s="57"/>
    </row>
    <row r="42">
      <c r="A42" s="32">
        <v>45589.0</v>
      </c>
      <c r="B42" s="60" t="s">
        <v>192</v>
      </c>
      <c r="C42" s="60" t="s">
        <v>193</v>
      </c>
      <c r="D42" s="72" t="s">
        <v>194</v>
      </c>
      <c r="E42" s="77">
        <f t="shared" si="2"/>
        <v>0.41</v>
      </c>
      <c r="F42" s="66">
        <v>10.0</v>
      </c>
      <c r="G42" s="78">
        <v>4.1</v>
      </c>
      <c r="H42" s="57"/>
    </row>
    <row r="43">
      <c r="A43" s="32">
        <v>45589.0</v>
      </c>
      <c r="B43" s="60" t="s">
        <v>195</v>
      </c>
      <c r="C43" s="60" t="s">
        <v>193</v>
      </c>
      <c r="D43" s="72" t="s">
        <v>196</v>
      </c>
      <c r="E43" s="77">
        <f t="shared" si="2"/>
        <v>0.178</v>
      </c>
      <c r="F43" s="66">
        <v>10.0</v>
      </c>
      <c r="G43" s="78">
        <v>1.78</v>
      </c>
      <c r="H43" s="57"/>
    </row>
    <row r="44">
      <c r="A44" s="32">
        <v>45589.0</v>
      </c>
      <c r="B44" s="60">
        <v>6.1300311121E10</v>
      </c>
      <c r="C44" s="60" t="s">
        <v>197</v>
      </c>
      <c r="D44" s="72" t="s">
        <v>198</v>
      </c>
      <c r="E44" s="77">
        <f t="shared" si="2"/>
        <v>0.113</v>
      </c>
      <c r="F44" s="66">
        <v>10.0</v>
      </c>
      <c r="G44" s="78">
        <v>1.13</v>
      </c>
      <c r="H44" s="57"/>
    </row>
    <row r="45">
      <c r="A45" s="32">
        <v>45589.0</v>
      </c>
      <c r="B45" s="60">
        <v>6.1001221121E10</v>
      </c>
      <c r="C45" s="60" t="s">
        <v>200</v>
      </c>
      <c r="D45" s="72" t="s">
        <v>201</v>
      </c>
      <c r="E45" s="77">
        <f t="shared" si="2"/>
        <v>2.49</v>
      </c>
      <c r="F45" s="66">
        <v>1.0</v>
      </c>
      <c r="G45" s="78">
        <v>2.49</v>
      </c>
      <c r="H45" s="57"/>
    </row>
    <row r="46">
      <c r="A46" s="32">
        <v>45589.0</v>
      </c>
      <c r="B46" s="60">
        <v>6.1001021121E10</v>
      </c>
      <c r="C46" s="60" t="s">
        <v>203</v>
      </c>
      <c r="D46" s="72" t="s">
        <v>204</v>
      </c>
      <c r="E46" s="77">
        <f t="shared" si="2"/>
        <v>2.01</v>
      </c>
      <c r="F46" s="66">
        <v>1.0</v>
      </c>
      <c r="G46" s="78">
        <v>2.01</v>
      </c>
      <c r="H46" s="57"/>
    </row>
    <row r="47">
      <c r="A47" s="32">
        <v>45589.0</v>
      </c>
      <c r="B47" s="60">
        <v>6.1301421121E10</v>
      </c>
      <c r="C47" s="60" t="s">
        <v>205</v>
      </c>
      <c r="D47" s="72" t="s">
        <v>206</v>
      </c>
      <c r="E47" s="77">
        <f t="shared" si="2"/>
        <v>0.96</v>
      </c>
      <c r="F47" s="66">
        <v>2.0</v>
      </c>
      <c r="G47" s="78">
        <v>1.92</v>
      </c>
      <c r="H47" s="57"/>
    </row>
    <row r="48">
      <c r="A48" s="32">
        <v>45589.0</v>
      </c>
      <c r="B48" s="60">
        <v>6.1000621121E10</v>
      </c>
      <c r="C48" s="60" t="s">
        <v>208</v>
      </c>
      <c r="D48" s="72" t="s">
        <v>209</v>
      </c>
      <c r="E48" s="77">
        <f t="shared" si="2"/>
        <v>1.05</v>
      </c>
      <c r="F48" s="66">
        <v>2.0</v>
      </c>
      <c r="G48" s="78">
        <v>2.1</v>
      </c>
      <c r="H48" s="57"/>
    </row>
    <row r="49">
      <c r="A49" s="32">
        <v>45589.0</v>
      </c>
      <c r="B49" s="60" t="s">
        <v>210</v>
      </c>
      <c r="C49" s="60" t="s">
        <v>211</v>
      </c>
      <c r="D49" s="72" t="s">
        <v>212</v>
      </c>
      <c r="E49" s="77">
        <f t="shared" si="2"/>
        <v>0.384</v>
      </c>
      <c r="F49" s="66">
        <v>10.0</v>
      </c>
      <c r="G49" s="78">
        <v>3.84</v>
      </c>
      <c r="H49" s="57"/>
    </row>
    <row r="50">
      <c r="A50" s="32">
        <v>45589.0</v>
      </c>
      <c r="B50" s="60" t="s">
        <v>214</v>
      </c>
      <c r="C50" s="60" t="s">
        <v>186</v>
      </c>
      <c r="D50" s="72" t="s">
        <v>215</v>
      </c>
      <c r="E50" s="77">
        <f t="shared" si="2"/>
        <v>0.101</v>
      </c>
      <c r="F50" s="66">
        <v>10.0</v>
      </c>
      <c r="G50" s="78">
        <v>1.01</v>
      </c>
      <c r="H50" s="57"/>
    </row>
    <row r="51">
      <c r="A51" s="32">
        <v>45589.0</v>
      </c>
      <c r="B51" s="60" t="s">
        <v>216</v>
      </c>
      <c r="C51" s="60" t="s">
        <v>186</v>
      </c>
      <c r="D51" s="72" t="s">
        <v>217</v>
      </c>
      <c r="E51" s="77">
        <f t="shared" si="2"/>
        <v>0.101</v>
      </c>
      <c r="F51" s="66">
        <v>10.0</v>
      </c>
      <c r="G51" s="78">
        <v>1.01</v>
      </c>
      <c r="H51" s="57"/>
    </row>
    <row r="52">
      <c r="A52" s="32">
        <v>45589.0</v>
      </c>
      <c r="B52" s="60" t="s">
        <v>218</v>
      </c>
      <c r="C52" s="60" t="s">
        <v>186</v>
      </c>
      <c r="D52" s="72" t="s">
        <v>219</v>
      </c>
      <c r="E52" s="77">
        <f t="shared" si="2"/>
        <v>0.101</v>
      </c>
      <c r="F52" s="66">
        <v>10.0</v>
      </c>
      <c r="G52" s="78">
        <v>1.01</v>
      </c>
      <c r="H52" s="57"/>
    </row>
    <row r="53">
      <c r="A53" s="32">
        <v>45589.0</v>
      </c>
      <c r="B53" s="60" t="s">
        <v>221</v>
      </c>
      <c r="C53" s="60" t="s">
        <v>186</v>
      </c>
      <c r="D53" s="72" t="s">
        <v>222</v>
      </c>
      <c r="E53" s="77">
        <f t="shared" si="2"/>
        <v>0.101</v>
      </c>
      <c r="F53" s="66">
        <v>10.0</v>
      </c>
      <c r="G53" s="78">
        <v>1.01</v>
      </c>
      <c r="H53" s="57"/>
    </row>
    <row r="54">
      <c r="A54" s="32">
        <v>45589.0</v>
      </c>
      <c r="B54" s="60" t="s">
        <v>223</v>
      </c>
      <c r="C54" s="60" t="s">
        <v>186</v>
      </c>
      <c r="D54" s="72" t="s">
        <v>224</v>
      </c>
      <c r="E54" s="77">
        <f t="shared" si="2"/>
        <v>0.101</v>
      </c>
      <c r="F54" s="66">
        <v>10.0</v>
      </c>
      <c r="G54" s="78">
        <v>1.01</v>
      </c>
      <c r="H54" s="57"/>
    </row>
    <row r="55">
      <c r="A55" s="32">
        <v>45589.0</v>
      </c>
      <c r="B55" s="60" t="s">
        <v>225</v>
      </c>
      <c r="C55" s="60" t="s">
        <v>193</v>
      </c>
      <c r="D55" s="72" t="s">
        <v>226</v>
      </c>
      <c r="E55" s="77">
        <f t="shared" si="2"/>
        <v>0.594</v>
      </c>
      <c r="F55" s="66">
        <v>10.0</v>
      </c>
      <c r="G55" s="78">
        <v>5.94</v>
      </c>
      <c r="H55" s="57"/>
    </row>
    <row r="56">
      <c r="A56" s="32">
        <v>45589.0</v>
      </c>
      <c r="B56" s="60" t="s">
        <v>227</v>
      </c>
      <c r="C56" s="60" t="s">
        <v>193</v>
      </c>
      <c r="D56" s="72" t="s">
        <v>228</v>
      </c>
      <c r="E56" s="77">
        <f t="shared" si="2"/>
        <v>0.034</v>
      </c>
      <c r="F56" s="66">
        <v>10.0</v>
      </c>
      <c r="G56" s="78">
        <v>0.34</v>
      </c>
      <c r="H56" s="57"/>
    </row>
    <row r="57">
      <c r="A57" s="32">
        <v>45589.0</v>
      </c>
      <c r="B57" s="60" t="s">
        <v>230</v>
      </c>
      <c r="C57" s="60" t="s">
        <v>193</v>
      </c>
      <c r="D57" s="72" t="s">
        <v>231</v>
      </c>
      <c r="E57" s="77">
        <f t="shared" si="2"/>
        <v>0.291</v>
      </c>
      <c r="F57" s="66">
        <v>10.0</v>
      </c>
      <c r="G57" s="78">
        <v>2.91</v>
      </c>
      <c r="H57" s="57"/>
    </row>
    <row r="58">
      <c r="A58" s="32">
        <v>45589.0</v>
      </c>
      <c r="B58" s="60" t="s">
        <v>233</v>
      </c>
      <c r="C58" s="60" t="s">
        <v>234</v>
      </c>
      <c r="D58" s="72" t="s">
        <v>235</v>
      </c>
      <c r="E58" s="77">
        <f t="shared" si="2"/>
        <v>1.247</v>
      </c>
      <c r="F58" s="66">
        <v>10.0</v>
      </c>
      <c r="G58" s="78">
        <v>12.47</v>
      </c>
      <c r="H58" s="57"/>
    </row>
    <row r="59">
      <c r="A59" s="32">
        <v>45589.0</v>
      </c>
      <c r="B59" s="24" t="s">
        <v>52</v>
      </c>
      <c r="C59" s="24" t="s">
        <v>53</v>
      </c>
      <c r="D59" s="27" t="s">
        <v>54</v>
      </c>
      <c r="E59" s="26">
        <v>4.99</v>
      </c>
      <c r="F59" s="24">
        <v>1.0</v>
      </c>
      <c r="G59" s="26">
        <f t="shared" ref="G59:G76" si="3">E59*F59</f>
        <v>4.99</v>
      </c>
      <c r="H59" s="57"/>
    </row>
    <row r="60">
      <c r="A60" s="32">
        <v>45589.0</v>
      </c>
      <c r="B60" s="24" t="s">
        <v>56</v>
      </c>
      <c r="C60" s="24" t="s">
        <v>57</v>
      </c>
      <c r="D60" s="27" t="s">
        <v>58</v>
      </c>
      <c r="E60" s="26">
        <v>2.75</v>
      </c>
      <c r="F60" s="24">
        <v>3.0</v>
      </c>
      <c r="G60" s="26">
        <f t="shared" si="3"/>
        <v>8.25</v>
      </c>
    </row>
    <row r="61">
      <c r="A61" s="32">
        <v>45589.0</v>
      </c>
      <c r="B61" s="79" t="s">
        <v>59</v>
      </c>
      <c r="C61" s="80" t="s">
        <v>60</v>
      </c>
      <c r="D61" s="81" t="s">
        <v>61</v>
      </c>
      <c r="E61" s="82">
        <v>4.25</v>
      </c>
      <c r="F61" s="24">
        <v>3.0</v>
      </c>
      <c r="G61" s="26">
        <f t="shared" si="3"/>
        <v>12.75</v>
      </c>
    </row>
    <row r="62">
      <c r="A62" s="32">
        <v>45589.0</v>
      </c>
      <c r="B62" s="83">
        <v>6.91210910004E11</v>
      </c>
      <c r="C62" s="24" t="s">
        <v>62</v>
      </c>
      <c r="D62" s="27" t="s">
        <v>63</v>
      </c>
      <c r="E62" s="26">
        <v>1.95</v>
      </c>
      <c r="F62" s="24">
        <v>1.0</v>
      </c>
      <c r="G62" s="26">
        <f t="shared" si="3"/>
        <v>1.95</v>
      </c>
    </row>
    <row r="63">
      <c r="A63" s="32">
        <v>45589.0</v>
      </c>
      <c r="B63" s="24" t="s">
        <v>64</v>
      </c>
      <c r="C63" s="24" t="s">
        <v>65</v>
      </c>
      <c r="D63" s="27" t="s">
        <v>66</v>
      </c>
      <c r="E63" s="26">
        <v>0.1</v>
      </c>
      <c r="F63" s="24">
        <v>7.0</v>
      </c>
      <c r="G63" s="26">
        <f t="shared" si="3"/>
        <v>0.7</v>
      </c>
    </row>
    <row r="64">
      <c r="A64" s="32">
        <v>45589.0</v>
      </c>
      <c r="B64" s="24" t="s">
        <v>67</v>
      </c>
      <c r="C64" s="24" t="s">
        <v>68</v>
      </c>
      <c r="D64" s="27" t="s">
        <v>69</v>
      </c>
      <c r="E64" s="26">
        <v>0.13</v>
      </c>
      <c r="F64" s="24">
        <v>2.0</v>
      </c>
      <c r="G64" s="26">
        <f t="shared" si="3"/>
        <v>0.26</v>
      </c>
    </row>
    <row r="65">
      <c r="A65" s="32">
        <v>45589.0</v>
      </c>
      <c r="B65" s="24" t="s">
        <v>70</v>
      </c>
      <c r="C65" s="24" t="s">
        <v>65</v>
      </c>
      <c r="D65" s="27" t="s">
        <v>71</v>
      </c>
      <c r="E65" s="26">
        <v>0.1</v>
      </c>
      <c r="F65" s="24">
        <v>1.0</v>
      </c>
      <c r="G65" s="26">
        <f t="shared" si="3"/>
        <v>0.1</v>
      </c>
    </row>
    <row r="66">
      <c r="A66" s="32">
        <v>45589.0</v>
      </c>
      <c r="B66" s="24" t="s">
        <v>72</v>
      </c>
      <c r="C66" s="24" t="s">
        <v>73</v>
      </c>
      <c r="D66" s="27" t="s">
        <v>74</v>
      </c>
      <c r="E66" s="26">
        <v>0.2</v>
      </c>
      <c r="F66" s="24">
        <v>1.0</v>
      </c>
      <c r="G66" s="26">
        <f t="shared" si="3"/>
        <v>0.2</v>
      </c>
    </row>
    <row r="67">
      <c r="A67" s="32">
        <v>45589.0</v>
      </c>
      <c r="B67" s="24" t="s">
        <v>75</v>
      </c>
      <c r="C67" s="24" t="s">
        <v>65</v>
      </c>
      <c r="D67" s="27" t="s">
        <v>76</v>
      </c>
      <c r="E67" s="26">
        <v>0.3</v>
      </c>
      <c r="F67" s="24">
        <v>1.0</v>
      </c>
      <c r="G67" s="26">
        <f t="shared" si="3"/>
        <v>0.3</v>
      </c>
    </row>
    <row r="68">
      <c r="A68" s="32">
        <v>45589.0</v>
      </c>
      <c r="B68" s="24" t="s">
        <v>77</v>
      </c>
      <c r="C68" s="24" t="s">
        <v>65</v>
      </c>
      <c r="D68" s="27" t="s">
        <v>78</v>
      </c>
      <c r="E68" s="26">
        <v>0.15</v>
      </c>
      <c r="F68" s="24">
        <v>4.0</v>
      </c>
      <c r="G68" s="26">
        <f t="shared" si="3"/>
        <v>0.6</v>
      </c>
    </row>
    <row r="69">
      <c r="A69" s="32">
        <v>45589.0</v>
      </c>
      <c r="B69" s="24" t="s">
        <v>79</v>
      </c>
      <c r="C69" s="24" t="s">
        <v>65</v>
      </c>
      <c r="D69" s="27" t="s">
        <v>80</v>
      </c>
      <c r="E69" s="26">
        <v>0.41</v>
      </c>
      <c r="F69" s="24">
        <v>2.0</v>
      </c>
      <c r="G69" s="26">
        <f t="shared" si="3"/>
        <v>0.82</v>
      </c>
    </row>
    <row r="70">
      <c r="A70" s="32">
        <v>45589.0</v>
      </c>
      <c r="B70" s="24" t="s">
        <v>81</v>
      </c>
      <c r="C70" s="24" t="s">
        <v>65</v>
      </c>
      <c r="D70" s="27" t="s">
        <v>82</v>
      </c>
      <c r="E70" s="26">
        <v>0.1</v>
      </c>
      <c r="F70" s="24">
        <v>2.0</v>
      </c>
      <c r="G70" s="26">
        <f t="shared" si="3"/>
        <v>0.2</v>
      </c>
    </row>
    <row r="71">
      <c r="A71" s="32">
        <v>45589.0</v>
      </c>
      <c r="B71" s="83">
        <v>6.91137710002E11</v>
      </c>
      <c r="C71" s="24" t="s">
        <v>62</v>
      </c>
      <c r="D71" s="27" t="s">
        <v>83</v>
      </c>
      <c r="E71" s="26">
        <v>0.4</v>
      </c>
      <c r="F71" s="24">
        <v>1.0</v>
      </c>
      <c r="G71" s="26">
        <f t="shared" si="3"/>
        <v>0.4</v>
      </c>
    </row>
    <row r="72">
      <c r="A72" s="32">
        <v>45589.0</v>
      </c>
      <c r="B72" s="24" t="s">
        <v>84</v>
      </c>
      <c r="C72" s="24" t="s">
        <v>85</v>
      </c>
      <c r="D72" s="27" t="s">
        <v>86</v>
      </c>
      <c r="E72" s="26">
        <v>0.35</v>
      </c>
      <c r="F72" s="24">
        <v>3.0</v>
      </c>
      <c r="G72" s="26">
        <f t="shared" si="3"/>
        <v>1.05</v>
      </c>
    </row>
    <row r="73">
      <c r="A73" s="32">
        <v>45589.0</v>
      </c>
      <c r="B73" s="24" t="s">
        <v>87</v>
      </c>
      <c r="C73" s="24" t="s">
        <v>88</v>
      </c>
      <c r="D73" s="27" t="s">
        <v>89</v>
      </c>
      <c r="E73" s="26">
        <v>1.06</v>
      </c>
      <c r="F73" s="24">
        <v>2.0</v>
      </c>
      <c r="G73" s="26">
        <f t="shared" si="3"/>
        <v>2.12</v>
      </c>
    </row>
    <row r="74">
      <c r="A74" s="32">
        <v>45589.0</v>
      </c>
      <c r="B74" s="24" t="s">
        <v>90</v>
      </c>
      <c r="C74" s="24" t="s">
        <v>88</v>
      </c>
      <c r="D74" s="27" t="s">
        <v>91</v>
      </c>
      <c r="E74" s="26">
        <v>0.13</v>
      </c>
      <c r="F74" s="24">
        <v>1.0</v>
      </c>
      <c r="G74" s="26">
        <f t="shared" si="3"/>
        <v>0.13</v>
      </c>
    </row>
    <row r="75">
      <c r="A75" s="32">
        <v>45589.0</v>
      </c>
      <c r="B75" s="24" t="s">
        <v>92</v>
      </c>
      <c r="C75" s="24" t="s">
        <v>93</v>
      </c>
      <c r="D75" s="27" t="s">
        <v>94</v>
      </c>
      <c r="E75" s="26">
        <v>0.1</v>
      </c>
      <c r="F75" s="24">
        <v>8.0</v>
      </c>
      <c r="G75" s="26">
        <f t="shared" si="3"/>
        <v>0.8</v>
      </c>
    </row>
    <row r="76">
      <c r="A76" s="32">
        <v>45589.0</v>
      </c>
      <c r="B76" s="24" t="s">
        <v>95</v>
      </c>
      <c r="C76" s="24" t="s">
        <v>93</v>
      </c>
      <c r="D76" s="27" t="s">
        <v>96</v>
      </c>
      <c r="E76" s="26">
        <v>0.25</v>
      </c>
      <c r="F76" s="24">
        <v>1.0</v>
      </c>
      <c r="G76" s="26">
        <f t="shared" si="3"/>
        <v>0.25</v>
      </c>
    </row>
    <row r="77">
      <c r="A77" s="84">
        <v>45589.0</v>
      </c>
      <c r="B77" s="39" t="s">
        <v>256</v>
      </c>
      <c r="C77" s="20" t="s">
        <v>257</v>
      </c>
      <c r="D77" s="40" t="s">
        <v>258</v>
      </c>
      <c r="E77" s="82">
        <v>0.326</v>
      </c>
      <c r="F77" s="20">
        <v>10.0</v>
      </c>
      <c r="G77" s="20">
        <v>3.26</v>
      </c>
    </row>
    <row r="78">
      <c r="A78" s="84">
        <v>45589.0</v>
      </c>
      <c r="B78" s="39" t="s">
        <v>259</v>
      </c>
      <c r="C78" s="20" t="s">
        <v>257</v>
      </c>
      <c r="D78" s="40" t="s">
        <v>260</v>
      </c>
      <c r="E78" s="82">
        <v>0.069</v>
      </c>
      <c r="F78" s="20">
        <v>10.0</v>
      </c>
      <c r="G78" s="20">
        <v>0.69</v>
      </c>
    </row>
    <row r="80">
      <c r="G80" s="23">
        <f>SUM(G2:G78)</f>
        <v>152.03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20"/>
    <hyperlink r:id="rId18" ref="D24"/>
    <hyperlink r:id="rId19" ref="D34"/>
    <hyperlink r:id="rId20" ref="D35"/>
    <hyperlink r:id="rId21" ref="D36"/>
    <hyperlink r:id="rId22" ref="D37"/>
    <hyperlink r:id="rId23" ref="D38"/>
    <hyperlink r:id="rId24" ref="D39"/>
    <hyperlink r:id="rId25" ref="D40"/>
    <hyperlink r:id="rId26" ref="D41"/>
    <hyperlink r:id="rId27" ref="D42"/>
    <hyperlink r:id="rId28" ref="D43"/>
    <hyperlink r:id="rId29" ref="D44"/>
    <hyperlink r:id="rId30" ref="D45"/>
    <hyperlink r:id="rId31" ref="D46"/>
    <hyperlink r:id="rId32" ref="D47"/>
    <hyperlink r:id="rId33" ref="D48"/>
    <hyperlink r:id="rId34" ref="D49"/>
    <hyperlink r:id="rId35" ref="D50"/>
    <hyperlink r:id="rId36" ref="D51"/>
    <hyperlink r:id="rId37" ref="D52"/>
    <hyperlink r:id="rId38" ref="D53"/>
    <hyperlink r:id="rId39" ref="D54"/>
    <hyperlink r:id="rId40" ref="D55"/>
    <hyperlink r:id="rId41" ref="D56"/>
    <hyperlink r:id="rId42" ref="D57"/>
    <hyperlink r:id="rId43" ref="D58"/>
    <hyperlink r:id="rId44" ref="D59"/>
    <hyperlink r:id="rId45" ref="D60"/>
    <hyperlink r:id="rId46" location="order-quality" ref="D61"/>
    <hyperlink r:id="rId47" ref="D62"/>
    <hyperlink r:id="rId48" ref="D63"/>
    <hyperlink r:id="rId49" ref="D64"/>
    <hyperlink r:id="rId50" ref="D65"/>
    <hyperlink r:id="rId51" ref="D66"/>
    <hyperlink r:id="rId52" ref="D67"/>
    <hyperlink r:id="rId53" ref="D68"/>
    <hyperlink r:id="rId54" ref="D69"/>
    <hyperlink r:id="rId55" ref="D70"/>
    <hyperlink r:id="rId56" ref="D71"/>
    <hyperlink r:id="rId57" ref="D72"/>
    <hyperlink r:id="rId58" ref="D73"/>
    <hyperlink r:id="rId59" ref="D74"/>
    <hyperlink r:id="rId60" ref="D75"/>
    <hyperlink r:id="rId61" ref="D76"/>
    <hyperlink r:id="rId62" ref="D77"/>
    <hyperlink r:id="rId63" ref="D7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3" max="3" width="16.38"/>
  </cols>
  <sheetData>
    <row r="1">
      <c r="A1" s="85" t="s">
        <v>261</v>
      </c>
      <c r="B1" s="85" t="s">
        <v>262</v>
      </c>
      <c r="C1" s="85" t="s">
        <v>263</v>
      </c>
      <c r="D1" s="85" t="s">
        <v>264</v>
      </c>
      <c r="E1" s="85" t="s">
        <v>265</v>
      </c>
      <c r="F1" s="85" t="s">
        <v>266</v>
      </c>
      <c r="G1" s="86"/>
      <c r="H1" s="85" t="s">
        <v>267</v>
      </c>
      <c r="I1" s="85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>
      <c r="A2" s="20"/>
    </row>
    <row r="3">
      <c r="A3" s="20" t="s">
        <v>268</v>
      </c>
    </row>
    <row r="4">
      <c r="A4" s="24" t="s">
        <v>269</v>
      </c>
      <c r="B4" s="20" t="s">
        <v>270</v>
      </c>
      <c r="C4" s="40" t="s">
        <v>271</v>
      </c>
      <c r="D4" s="20">
        <v>20.0</v>
      </c>
      <c r="E4" s="87">
        <v>0.1</v>
      </c>
      <c r="F4" s="26">
        <f t="shared" ref="F4:F11" si="1">D4*E4</f>
        <v>2</v>
      </c>
      <c r="I4" s="20"/>
    </row>
    <row r="5">
      <c r="A5" s="39" t="s">
        <v>272</v>
      </c>
      <c r="B5" s="20" t="s">
        <v>273</v>
      </c>
      <c r="C5" s="40" t="s">
        <v>274</v>
      </c>
      <c r="D5" s="20">
        <v>20.0</v>
      </c>
      <c r="E5" s="87">
        <v>0.16</v>
      </c>
      <c r="F5" s="26">
        <f t="shared" si="1"/>
        <v>3.2</v>
      </c>
      <c r="I5" s="20"/>
    </row>
    <row r="6">
      <c r="A6" s="24" t="s">
        <v>67</v>
      </c>
      <c r="B6" s="20" t="s">
        <v>275</v>
      </c>
      <c r="C6" s="51" t="s">
        <v>276</v>
      </c>
      <c r="D6" s="20">
        <v>10.0</v>
      </c>
      <c r="E6" s="87">
        <v>0.13</v>
      </c>
      <c r="F6" s="26">
        <f t="shared" si="1"/>
        <v>1.3</v>
      </c>
      <c r="H6" s="20" t="s">
        <v>277</v>
      </c>
      <c r="I6" s="20"/>
    </row>
    <row r="7">
      <c r="A7" s="24" t="s">
        <v>278</v>
      </c>
      <c r="B7" s="20" t="s">
        <v>279</v>
      </c>
      <c r="C7" s="51" t="s">
        <v>280</v>
      </c>
      <c r="D7" s="20">
        <v>10.0</v>
      </c>
      <c r="E7" s="87">
        <v>0.1</v>
      </c>
      <c r="F7" s="26">
        <f t="shared" si="1"/>
        <v>1</v>
      </c>
    </row>
    <row r="8">
      <c r="A8" s="24" t="s">
        <v>281</v>
      </c>
      <c r="B8" s="20" t="s">
        <v>282</v>
      </c>
      <c r="C8" s="51" t="s">
        <v>283</v>
      </c>
      <c r="D8" s="20">
        <v>10.0</v>
      </c>
      <c r="E8" s="87">
        <v>0.1</v>
      </c>
      <c r="F8" s="26">
        <f t="shared" si="1"/>
        <v>1</v>
      </c>
    </row>
    <row r="9">
      <c r="A9" s="24" t="s">
        <v>284</v>
      </c>
      <c r="B9" s="20" t="s">
        <v>285</v>
      </c>
      <c r="C9" s="51" t="s">
        <v>286</v>
      </c>
      <c r="D9" s="20">
        <v>10.0</v>
      </c>
      <c r="E9" s="87">
        <v>0.1</v>
      </c>
      <c r="F9" s="26">
        <f t="shared" si="1"/>
        <v>1</v>
      </c>
    </row>
    <row r="10">
      <c r="A10" s="24" t="s">
        <v>287</v>
      </c>
      <c r="B10" s="20" t="s">
        <v>288</v>
      </c>
      <c r="C10" s="51" t="s">
        <v>289</v>
      </c>
      <c r="D10" s="20">
        <v>10.0</v>
      </c>
      <c r="E10" s="87">
        <v>0.1</v>
      </c>
      <c r="F10" s="26">
        <f t="shared" si="1"/>
        <v>1</v>
      </c>
    </row>
    <row r="11">
      <c r="A11" s="24" t="s">
        <v>290</v>
      </c>
      <c r="B11" s="20" t="s">
        <v>291</v>
      </c>
      <c r="C11" s="51" t="s">
        <v>292</v>
      </c>
      <c r="D11" s="20">
        <v>10.0</v>
      </c>
      <c r="E11" s="87">
        <v>0.1</v>
      </c>
      <c r="F11" s="26">
        <f t="shared" si="1"/>
        <v>1</v>
      </c>
    </row>
    <row r="12">
      <c r="E12" s="88"/>
    </row>
    <row r="13">
      <c r="A13" s="20" t="s">
        <v>293</v>
      </c>
    </row>
    <row r="14">
      <c r="A14" s="89" t="s">
        <v>294</v>
      </c>
      <c r="B14" s="90" t="s">
        <v>279</v>
      </c>
      <c r="C14" s="91" t="s">
        <v>295</v>
      </c>
      <c r="D14" s="90">
        <v>10.0</v>
      </c>
      <c r="E14" s="82">
        <v>0.11</v>
      </c>
      <c r="F14" s="26">
        <f t="shared" ref="F14:F15" si="2">D14*E14</f>
        <v>1.1</v>
      </c>
      <c r="I14" s="34"/>
    </row>
    <row r="15">
      <c r="A15" s="39" t="s">
        <v>25</v>
      </c>
      <c r="B15" s="24" t="s">
        <v>296</v>
      </c>
      <c r="C15" s="51" t="s">
        <v>297</v>
      </c>
      <c r="D15" s="24">
        <v>10.0</v>
      </c>
      <c r="E15" s="26">
        <v>0.35</v>
      </c>
      <c r="F15" s="26">
        <f t="shared" si="2"/>
        <v>3.5</v>
      </c>
      <c r="I15" s="20"/>
    </row>
    <row r="16">
      <c r="E16" s="92"/>
    </row>
    <row r="17">
      <c r="A17" s="20" t="s">
        <v>298</v>
      </c>
      <c r="H17" s="26">
        <f>sum(F18:F27)</f>
        <v>102.14</v>
      </c>
    </row>
    <row r="18">
      <c r="A18" s="39" t="s">
        <v>299</v>
      </c>
      <c r="B18" s="20" t="s">
        <v>300</v>
      </c>
      <c r="C18" s="51" t="s">
        <v>301</v>
      </c>
      <c r="D18" s="20">
        <v>10.0</v>
      </c>
      <c r="E18" s="87">
        <v>1.67</v>
      </c>
      <c r="F18" s="93">
        <v>16.7</v>
      </c>
    </row>
    <row r="19">
      <c r="A19" s="39" t="s">
        <v>302</v>
      </c>
      <c r="B19" s="20" t="s">
        <v>303</v>
      </c>
      <c r="C19" s="51" t="s">
        <v>304</v>
      </c>
      <c r="D19" s="20">
        <v>10.0</v>
      </c>
      <c r="E19" s="94">
        <v>0.175</v>
      </c>
      <c r="F19" s="93">
        <v>1.75</v>
      </c>
    </row>
    <row r="20">
      <c r="A20" s="39" t="s">
        <v>305</v>
      </c>
      <c r="B20" s="20" t="s">
        <v>306</v>
      </c>
      <c r="C20" s="51" t="s">
        <v>307</v>
      </c>
      <c r="D20" s="20">
        <v>10.0</v>
      </c>
      <c r="E20" s="82">
        <v>0.829</v>
      </c>
      <c r="F20" s="93">
        <v>8.29</v>
      </c>
    </row>
    <row r="21">
      <c r="A21" s="39" t="s">
        <v>308</v>
      </c>
      <c r="B21" s="20" t="s">
        <v>309</v>
      </c>
      <c r="C21" s="51" t="s">
        <v>310</v>
      </c>
      <c r="D21" s="20">
        <v>10.0</v>
      </c>
      <c r="E21" s="82">
        <v>0.06</v>
      </c>
      <c r="F21" s="93">
        <v>0.6</v>
      </c>
    </row>
    <row r="22">
      <c r="A22" s="39" t="s">
        <v>311</v>
      </c>
      <c r="B22" s="20" t="s">
        <v>312</v>
      </c>
      <c r="C22" s="51" t="s">
        <v>313</v>
      </c>
      <c r="D22" s="20">
        <v>40.0</v>
      </c>
      <c r="E22" s="93">
        <v>0.464</v>
      </c>
      <c r="F22" s="93">
        <f t="shared" ref="F22:F23" si="3">D22*E22</f>
        <v>18.56</v>
      </c>
    </row>
    <row r="23">
      <c r="A23" s="39" t="s">
        <v>233</v>
      </c>
      <c r="B23" s="20" t="s">
        <v>314</v>
      </c>
      <c r="C23" s="51" t="s">
        <v>315</v>
      </c>
      <c r="D23" s="20">
        <v>10.0</v>
      </c>
      <c r="E23" s="93">
        <v>1.634</v>
      </c>
      <c r="F23" s="93">
        <f t="shared" si="3"/>
        <v>16.34</v>
      </c>
    </row>
    <row r="24">
      <c r="A24" s="39" t="s">
        <v>210</v>
      </c>
      <c r="B24" s="20" t="s">
        <v>248</v>
      </c>
      <c r="C24" s="51" t="s">
        <v>212</v>
      </c>
      <c r="D24" s="20">
        <v>30.0</v>
      </c>
      <c r="E24" s="93">
        <v>0.386</v>
      </c>
      <c r="F24" s="93">
        <f>3.86*3</f>
        <v>11.58</v>
      </c>
    </row>
    <row r="25">
      <c r="A25" s="39">
        <v>6.1000621121E10</v>
      </c>
      <c r="B25" s="20" t="s">
        <v>316</v>
      </c>
      <c r="C25" s="51" t="s">
        <v>209</v>
      </c>
      <c r="D25" s="20">
        <v>10.0</v>
      </c>
      <c r="E25" s="93">
        <v>0.802</v>
      </c>
      <c r="F25" s="93">
        <v>8.02</v>
      </c>
    </row>
    <row r="26">
      <c r="A26" s="39">
        <v>6.1001021121E10</v>
      </c>
      <c r="B26" s="20" t="s">
        <v>317</v>
      </c>
      <c r="C26" s="51" t="s">
        <v>204</v>
      </c>
      <c r="D26" s="20">
        <v>5.0</v>
      </c>
      <c r="E26" s="93">
        <v>1.81</v>
      </c>
      <c r="F26" s="93">
        <f>1.81*D26</f>
        <v>9.05</v>
      </c>
    </row>
    <row r="27">
      <c r="A27" s="39">
        <v>6.1001221121E10</v>
      </c>
      <c r="B27" s="20" t="s">
        <v>318</v>
      </c>
      <c r="C27" s="51" t="s">
        <v>201</v>
      </c>
      <c r="D27" s="20">
        <v>5.0</v>
      </c>
      <c r="E27" s="93">
        <v>2.25</v>
      </c>
      <c r="F27" s="93">
        <f>2.25*5</f>
        <v>11.25</v>
      </c>
    </row>
    <row r="29">
      <c r="A29" s="20" t="s">
        <v>319</v>
      </c>
    </row>
    <row r="30">
      <c r="A30" s="30" t="s">
        <v>117</v>
      </c>
      <c r="B30" s="30" t="s">
        <v>118</v>
      </c>
      <c r="C30" s="36" t="s">
        <v>121</v>
      </c>
      <c r="D30" s="34">
        <v>10.0</v>
      </c>
      <c r="E30" s="34">
        <v>0.05</v>
      </c>
      <c r="F30" s="34">
        <f t="shared" ref="F30:F41" si="4">D30*E30</f>
        <v>0.5</v>
      </c>
    </row>
    <row r="31">
      <c r="A31" s="30" t="s">
        <v>122</v>
      </c>
      <c r="B31" s="30" t="s">
        <v>123</v>
      </c>
      <c r="C31" s="36" t="s">
        <v>125</v>
      </c>
      <c r="D31" s="34">
        <v>10.0</v>
      </c>
      <c r="E31" s="34">
        <v>0.11</v>
      </c>
      <c r="F31" s="34">
        <f t="shared" si="4"/>
        <v>1.1</v>
      </c>
      <c r="H31" s="34"/>
    </row>
    <row r="32">
      <c r="A32" s="20" t="s">
        <v>126</v>
      </c>
      <c r="B32" s="30" t="s">
        <v>127</v>
      </c>
      <c r="C32" s="36" t="s">
        <v>129</v>
      </c>
      <c r="D32" s="34">
        <v>10.0</v>
      </c>
      <c r="E32" s="34">
        <v>0.025</v>
      </c>
      <c r="F32" s="34">
        <f t="shared" si="4"/>
        <v>0.25</v>
      </c>
      <c r="H32" s="34"/>
    </row>
    <row r="33">
      <c r="A33" s="30" t="s">
        <v>130</v>
      </c>
      <c r="B33" s="30" t="s">
        <v>131</v>
      </c>
      <c r="C33" s="36" t="s">
        <v>133</v>
      </c>
      <c r="D33" s="34">
        <v>10.0</v>
      </c>
      <c r="E33" s="34">
        <v>0.14</v>
      </c>
      <c r="F33" s="34">
        <f t="shared" si="4"/>
        <v>1.4</v>
      </c>
      <c r="H33" s="34"/>
    </row>
    <row r="34">
      <c r="A34" s="30" t="s">
        <v>134</v>
      </c>
      <c r="B34" s="30" t="s">
        <v>135</v>
      </c>
      <c r="C34" s="36" t="s">
        <v>137</v>
      </c>
      <c r="D34" s="34">
        <v>10.0</v>
      </c>
      <c r="E34" s="34">
        <v>0.007</v>
      </c>
      <c r="F34" s="34">
        <f t="shared" si="4"/>
        <v>0.07</v>
      </c>
      <c r="H34" s="34"/>
    </row>
    <row r="35">
      <c r="A35" s="30" t="s">
        <v>138</v>
      </c>
      <c r="B35" s="30" t="s">
        <v>139</v>
      </c>
      <c r="C35" s="36" t="s">
        <v>141</v>
      </c>
      <c r="D35" s="34">
        <v>10.0</v>
      </c>
      <c r="E35" s="34">
        <v>0.012</v>
      </c>
      <c r="F35" s="34">
        <f t="shared" si="4"/>
        <v>0.12</v>
      </c>
      <c r="H35" s="34"/>
    </row>
    <row r="36">
      <c r="A36" s="30" t="s">
        <v>142</v>
      </c>
      <c r="B36" s="30" t="s">
        <v>143</v>
      </c>
      <c r="C36" s="36" t="s">
        <v>145</v>
      </c>
      <c r="D36" s="34">
        <v>10.0</v>
      </c>
      <c r="E36" s="34">
        <v>0.025</v>
      </c>
      <c r="F36" s="34">
        <f t="shared" si="4"/>
        <v>0.25</v>
      </c>
      <c r="H36" s="34"/>
    </row>
    <row r="37">
      <c r="A37" s="30" t="s">
        <v>150</v>
      </c>
      <c r="B37" s="30" t="s">
        <v>151</v>
      </c>
      <c r="C37" s="36" t="s">
        <v>153</v>
      </c>
      <c r="D37" s="34">
        <v>10.0</v>
      </c>
      <c r="E37" s="34">
        <v>0.037</v>
      </c>
      <c r="F37" s="34">
        <f t="shared" si="4"/>
        <v>0.37</v>
      </c>
      <c r="H37" s="34"/>
    </row>
    <row r="38">
      <c r="A38" s="30" t="s">
        <v>156</v>
      </c>
      <c r="B38" s="30" t="s">
        <v>157</v>
      </c>
      <c r="C38" s="36" t="s">
        <v>159</v>
      </c>
      <c r="D38" s="34">
        <v>6.0</v>
      </c>
      <c r="E38" s="34">
        <v>0.432</v>
      </c>
      <c r="F38" s="34">
        <f t="shared" si="4"/>
        <v>2.592</v>
      </c>
      <c r="H38" s="34"/>
    </row>
    <row r="39">
      <c r="A39" s="30" t="s">
        <v>160</v>
      </c>
      <c r="B39" s="30" t="s">
        <v>161</v>
      </c>
      <c r="C39" s="36" t="s">
        <v>164</v>
      </c>
      <c r="D39" s="34">
        <v>6.0</v>
      </c>
      <c r="E39" s="34">
        <v>0.921</v>
      </c>
      <c r="F39" s="34">
        <f t="shared" si="4"/>
        <v>5.526</v>
      </c>
      <c r="H39" s="34"/>
    </row>
    <row r="40">
      <c r="A40" s="30" t="s">
        <v>165</v>
      </c>
      <c r="B40" s="30" t="s">
        <v>166</v>
      </c>
      <c r="C40" s="36" t="s">
        <v>168</v>
      </c>
      <c r="D40" s="34">
        <v>5.0</v>
      </c>
      <c r="E40" s="34">
        <v>0.387</v>
      </c>
      <c r="F40" s="34">
        <f t="shared" si="4"/>
        <v>1.935</v>
      </c>
      <c r="H40" s="34"/>
    </row>
    <row r="41">
      <c r="A41" s="39" t="s">
        <v>169</v>
      </c>
      <c r="B41" s="20" t="s">
        <v>170</v>
      </c>
      <c r="C41" s="51" t="s">
        <v>171</v>
      </c>
      <c r="D41" s="20">
        <v>10.0</v>
      </c>
      <c r="E41" s="20">
        <v>0.173</v>
      </c>
      <c r="F41" s="23">
        <f t="shared" si="4"/>
        <v>1.73</v>
      </c>
      <c r="H41" s="34"/>
    </row>
    <row r="42">
      <c r="H42" s="20"/>
    </row>
    <row r="43">
      <c r="A43" s="20" t="s">
        <v>3</v>
      </c>
      <c r="F43" s="26">
        <f>sum(F4:F41)</f>
        <v>134.083</v>
      </c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4"/>
    <hyperlink r:id="rId10" ref="C15"/>
    <hyperlink r:id="rId11" ref="C18"/>
    <hyperlink r:id="rId12" ref="C19"/>
    <hyperlink r:id="rId13" ref="C20"/>
    <hyperlink r:id="rId14" ref="C21"/>
    <hyperlink r:id="rId15" ref="C22"/>
    <hyperlink r:id="rId16" ref="C23"/>
    <hyperlink r:id="rId17" ref="C24"/>
    <hyperlink r:id="rId18" ref="C25"/>
    <hyperlink r:id="rId19" ref="C26"/>
    <hyperlink r:id="rId20" ref="C27"/>
    <hyperlink r:id="rId21" ref="C30"/>
    <hyperlink r:id="rId22" ref="C31"/>
    <hyperlink r:id="rId23" ref="C32"/>
    <hyperlink r:id="rId24" ref="C33"/>
    <hyperlink r:id="rId25" ref="C34"/>
    <hyperlink r:id="rId26" ref="C35"/>
    <hyperlink r:id="rId27" ref="C36"/>
    <hyperlink r:id="rId28" ref="C37"/>
    <hyperlink r:id="rId29" ref="C38"/>
    <hyperlink r:id="rId30" ref="C39"/>
    <hyperlink r:id="rId31" ref="C40"/>
    <hyperlink r:id="rId32" ref="C41"/>
  </hyperlinks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7.63"/>
  </cols>
  <sheetData>
    <row r="1">
      <c r="A1" s="2" t="s">
        <v>320</v>
      </c>
      <c r="B1" s="1"/>
    </row>
    <row r="2">
      <c r="A2" s="12" t="s">
        <v>5</v>
      </c>
      <c r="B2" s="2">
        <v>2.0</v>
      </c>
    </row>
    <row r="3">
      <c r="A3" s="12" t="s">
        <v>7</v>
      </c>
      <c r="B3" s="2">
        <v>10.0</v>
      </c>
    </row>
    <row r="4">
      <c r="A4" s="12" t="s">
        <v>9</v>
      </c>
      <c r="B4" s="2">
        <v>4.0</v>
      </c>
    </row>
    <row r="5">
      <c r="A5" s="12" t="s">
        <v>11</v>
      </c>
      <c r="B5" s="2">
        <v>10.0</v>
      </c>
    </row>
    <row r="6">
      <c r="A6" s="12" t="s">
        <v>13</v>
      </c>
      <c r="B6" s="2">
        <v>3.0</v>
      </c>
    </row>
    <row r="7">
      <c r="A7" s="12" t="s">
        <v>15</v>
      </c>
      <c r="B7" s="2">
        <v>3.0</v>
      </c>
    </row>
    <row r="8">
      <c r="A8" s="12" t="s">
        <v>17</v>
      </c>
      <c r="B8" s="2">
        <v>10.0</v>
      </c>
    </row>
    <row r="9">
      <c r="A9" s="12" t="s">
        <v>19</v>
      </c>
      <c r="B9" s="11">
        <v>2.0</v>
      </c>
    </row>
    <row r="10">
      <c r="A10" s="12" t="s">
        <v>21</v>
      </c>
      <c r="B10" s="2">
        <v>2.0</v>
      </c>
    </row>
    <row r="11">
      <c r="A11" s="12" t="s">
        <v>23</v>
      </c>
      <c r="B11" s="2">
        <v>1.0</v>
      </c>
    </row>
    <row r="12">
      <c r="A12" s="12" t="s">
        <v>25</v>
      </c>
      <c r="B12" s="2">
        <v>10.0</v>
      </c>
    </row>
    <row r="13">
      <c r="A13" s="12" t="s">
        <v>27</v>
      </c>
      <c r="B13" s="2">
        <v>5.0</v>
      </c>
    </row>
    <row r="14">
      <c r="A14" s="12" t="s">
        <v>29</v>
      </c>
      <c r="B14" s="2">
        <v>4.0</v>
      </c>
    </row>
    <row r="15">
      <c r="A15" s="12" t="s">
        <v>31</v>
      </c>
      <c r="B15" s="2">
        <v>10.0</v>
      </c>
    </row>
    <row r="16">
      <c r="A16" s="12" t="s">
        <v>33</v>
      </c>
      <c r="B16" s="2">
        <v>10.0</v>
      </c>
    </row>
    <row r="17">
      <c r="A17" s="12" t="s">
        <v>35</v>
      </c>
      <c r="B17" s="2">
        <v>10.0</v>
      </c>
    </row>
    <row r="18">
      <c r="A18" s="12" t="s">
        <v>37</v>
      </c>
      <c r="B18" s="2">
        <v>10.0</v>
      </c>
    </row>
    <row r="19">
      <c r="A19" s="12" t="s">
        <v>39</v>
      </c>
      <c r="B19" s="2">
        <v>10.0</v>
      </c>
    </row>
    <row r="20">
      <c r="A20" s="12" t="s">
        <v>41</v>
      </c>
      <c r="B20" s="11">
        <v>1.0</v>
      </c>
    </row>
    <row r="21">
      <c r="A21" s="11" t="s">
        <v>44</v>
      </c>
      <c r="B21" s="11">
        <v>2.0</v>
      </c>
    </row>
    <row r="22">
      <c r="A22" s="1" t="s">
        <v>47</v>
      </c>
      <c r="B22" s="11">
        <v>10.0</v>
      </c>
    </row>
    <row r="23">
      <c r="A23" s="95" t="s">
        <v>52</v>
      </c>
      <c r="B23" s="95" t="s">
        <v>53</v>
      </c>
    </row>
    <row r="24">
      <c r="A24" s="95" t="s">
        <v>56</v>
      </c>
      <c r="B24" s="95" t="s">
        <v>57</v>
      </c>
    </row>
    <row r="25">
      <c r="A25" s="95" t="s">
        <v>59</v>
      </c>
      <c r="B25" s="95" t="s">
        <v>60</v>
      </c>
    </row>
    <row r="26">
      <c r="A26" s="96">
        <v>6.91210910004E11</v>
      </c>
      <c r="B26" s="95" t="s">
        <v>62</v>
      </c>
    </row>
    <row r="27">
      <c r="A27" s="41" t="s">
        <v>64</v>
      </c>
      <c r="B27" s="95" t="s">
        <v>65</v>
      </c>
    </row>
    <row r="28">
      <c r="A28" s="41" t="s">
        <v>67</v>
      </c>
      <c r="B28" s="95" t="s">
        <v>68</v>
      </c>
    </row>
    <row r="29">
      <c r="A29" s="41" t="s">
        <v>70</v>
      </c>
      <c r="B29" s="95" t="s">
        <v>65</v>
      </c>
    </row>
    <row r="30">
      <c r="A30" s="41" t="s">
        <v>72</v>
      </c>
      <c r="B30" s="95" t="s">
        <v>73</v>
      </c>
    </row>
    <row r="31">
      <c r="A31" s="41" t="s">
        <v>75</v>
      </c>
      <c r="B31" s="95" t="s">
        <v>65</v>
      </c>
    </row>
    <row r="32">
      <c r="A32" s="41" t="s">
        <v>77</v>
      </c>
      <c r="B32" s="95" t="s">
        <v>65</v>
      </c>
    </row>
    <row r="33">
      <c r="A33" s="41" t="s">
        <v>79</v>
      </c>
      <c r="B33" s="95" t="s">
        <v>65</v>
      </c>
    </row>
    <row r="34">
      <c r="A34" s="41" t="s">
        <v>81</v>
      </c>
      <c r="B34" s="95" t="s">
        <v>65</v>
      </c>
    </row>
    <row r="35">
      <c r="A35" s="96">
        <v>6.91137710002E11</v>
      </c>
      <c r="B35" s="95" t="s">
        <v>62</v>
      </c>
    </row>
    <row r="36">
      <c r="A36" s="41" t="s">
        <v>84</v>
      </c>
      <c r="B36" s="95" t="s">
        <v>85</v>
      </c>
    </row>
    <row r="37">
      <c r="A37" s="41" t="s">
        <v>87</v>
      </c>
      <c r="B37" s="95" t="s">
        <v>88</v>
      </c>
    </row>
    <row r="38">
      <c r="A38" s="41" t="s">
        <v>90</v>
      </c>
      <c r="B38" s="95" t="s">
        <v>88</v>
      </c>
    </row>
    <row r="39">
      <c r="A39" s="41" t="s">
        <v>92</v>
      </c>
      <c r="B39" s="95" t="s">
        <v>93</v>
      </c>
    </row>
    <row r="40">
      <c r="A40" s="41" t="s">
        <v>95</v>
      </c>
      <c r="B40" s="95" t="s">
        <v>93</v>
      </c>
    </row>
    <row r="41">
      <c r="A41" s="95" t="s">
        <v>97</v>
      </c>
      <c r="B41" s="95" t="s">
        <v>98</v>
      </c>
    </row>
    <row r="42">
      <c r="A42" s="97" t="s">
        <v>106</v>
      </c>
      <c r="B42" s="97" t="s">
        <v>107</v>
      </c>
    </row>
    <row r="43">
      <c r="A43" s="97" t="s">
        <v>110</v>
      </c>
      <c r="B43" s="97" t="s">
        <v>111</v>
      </c>
    </row>
    <row r="44">
      <c r="A44" s="97" t="s">
        <v>114</v>
      </c>
      <c r="B44" s="97" t="s">
        <v>115</v>
      </c>
    </row>
    <row r="45">
      <c r="A45" s="97" t="s">
        <v>117</v>
      </c>
      <c r="B45" s="97" t="s">
        <v>118</v>
      </c>
    </row>
    <row r="46">
      <c r="A46" s="97" t="s">
        <v>122</v>
      </c>
      <c r="B46" s="97" t="s">
        <v>123</v>
      </c>
    </row>
    <row r="47">
      <c r="A47" s="41" t="s">
        <v>126</v>
      </c>
      <c r="B47" s="97" t="s">
        <v>127</v>
      </c>
    </row>
    <row r="48">
      <c r="A48" s="97" t="s">
        <v>130</v>
      </c>
      <c r="B48" s="97" t="s">
        <v>131</v>
      </c>
    </row>
    <row r="49">
      <c r="A49" s="97" t="s">
        <v>134</v>
      </c>
      <c r="B49" s="97" t="s">
        <v>135</v>
      </c>
    </row>
    <row r="50">
      <c r="A50" s="97" t="s">
        <v>138</v>
      </c>
      <c r="B50" s="97" t="s">
        <v>139</v>
      </c>
    </row>
    <row r="51">
      <c r="A51" s="97" t="s">
        <v>142</v>
      </c>
      <c r="B51" s="97" t="s">
        <v>143</v>
      </c>
    </row>
    <row r="52">
      <c r="A52" s="97" t="s">
        <v>146</v>
      </c>
      <c r="B52" s="97" t="s">
        <v>147</v>
      </c>
    </row>
    <row r="53">
      <c r="A53" s="97" t="s">
        <v>150</v>
      </c>
      <c r="B53" s="97" t="s">
        <v>151</v>
      </c>
    </row>
    <row r="54">
      <c r="A54" s="97" t="s">
        <v>21</v>
      </c>
      <c r="B54" s="97" t="s">
        <v>154</v>
      </c>
    </row>
    <row r="55">
      <c r="A55" s="97" t="s">
        <v>156</v>
      </c>
      <c r="B55" s="97" t="s">
        <v>157</v>
      </c>
    </row>
    <row r="56">
      <c r="A56" s="97" t="s">
        <v>160</v>
      </c>
      <c r="B56" s="97" t="s">
        <v>161</v>
      </c>
    </row>
    <row r="57">
      <c r="A57" s="97" t="s">
        <v>165</v>
      </c>
      <c r="B57" s="97" t="s">
        <v>166</v>
      </c>
    </row>
    <row r="58">
      <c r="A58" s="98" t="s">
        <v>177</v>
      </c>
      <c r="B58" s="41" t="s">
        <v>178</v>
      </c>
    </row>
    <row r="59">
      <c r="A59" s="98" t="s">
        <v>181</v>
      </c>
      <c r="B59" s="41" t="s">
        <v>182</v>
      </c>
    </row>
    <row r="60">
      <c r="A60" s="41" t="s">
        <v>185</v>
      </c>
      <c r="B60" s="41" t="s">
        <v>186</v>
      </c>
    </row>
    <row r="61">
      <c r="A61" s="98" t="s">
        <v>189</v>
      </c>
      <c r="B61" s="41" t="s">
        <v>186</v>
      </c>
    </row>
    <row r="62">
      <c r="A62" s="98" t="s">
        <v>192</v>
      </c>
      <c r="B62" s="41" t="s">
        <v>193</v>
      </c>
    </row>
    <row r="63">
      <c r="A63" s="98" t="s">
        <v>195</v>
      </c>
      <c r="B63" s="41" t="s">
        <v>193</v>
      </c>
    </row>
    <row r="64">
      <c r="A64" s="98">
        <v>6.1300311121E10</v>
      </c>
      <c r="B64" s="41" t="s">
        <v>197</v>
      </c>
    </row>
    <row r="65">
      <c r="A65" s="98">
        <v>6.1001221121E10</v>
      </c>
      <c r="B65" s="41" t="s">
        <v>200</v>
      </c>
    </row>
    <row r="66">
      <c r="A66" s="98">
        <v>6.1001021121E10</v>
      </c>
      <c r="B66" s="41" t="s">
        <v>203</v>
      </c>
    </row>
    <row r="67">
      <c r="A67" s="98">
        <v>6.1301421121E10</v>
      </c>
      <c r="B67" s="41" t="s">
        <v>205</v>
      </c>
    </row>
    <row r="68">
      <c r="A68" s="98">
        <v>6.1000621121E10</v>
      </c>
      <c r="B68" s="41" t="s">
        <v>208</v>
      </c>
    </row>
    <row r="69">
      <c r="A69" s="98" t="s">
        <v>210</v>
      </c>
      <c r="B69" s="41" t="s">
        <v>211</v>
      </c>
    </row>
    <row r="70">
      <c r="A70" s="98" t="s">
        <v>214</v>
      </c>
      <c r="B70" s="41" t="s">
        <v>186</v>
      </c>
    </row>
    <row r="71">
      <c r="A71" s="98" t="s">
        <v>216</v>
      </c>
      <c r="B71" s="41" t="s">
        <v>186</v>
      </c>
    </row>
    <row r="72">
      <c r="A72" s="98" t="s">
        <v>218</v>
      </c>
      <c r="B72" s="41" t="s">
        <v>186</v>
      </c>
    </row>
    <row r="73">
      <c r="A73" s="98" t="s">
        <v>221</v>
      </c>
      <c r="B73" s="41" t="s">
        <v>186</v>
      </c>
    </row>
    <row r="74">
      <c r="A74" s="98" t="s">
        <v>223</v>
      </c>
      <c r="B74" s="41" t="s">
        <v>186</v>
      </c>
    </row>
    <row r="75">
      <c r="A75" s="98" t="s">
        <v>225</v>
      </c>
      <c r="B75" s="41" t="s">
        <v>193</v>
      </c>
    </row>
    <row r="76">
      <c r="A76" s="98" t="s">
        <v>227</v>
      </c>
      <c r="B76" s="41" t="s">
        <v>193</v>
      </c>
    </row>
    <row r="77">
      <c r="A77" s="98" t="s">
        <v>230</v>
      </c>
      <c r="B77" s="41" t="s">
        <v>193</v>
      </c>
    </row>
    <row r="78">
      <c r="A78" s="98" t="s">
        <v>233</v>
      </c>
      <c r="B78" s="41" t="s">
        <v>234</v>
      </c>
    </row>
    <row r="79">
      <c r="A79" s="99"/>
      <c r="B79" s="99"/>
    </row>
    <row r="80">
      <c r="A80" s="98" t="s">
        <v>269</v>
      </c>
      <c r="B80" s="99"/>
    </row>
    <row r="81">
      <c r="A81" s="98" t="s">
        <v>272</v>
      </c>
      <c r="B81" s="99"/>
    </row>
    <row r="82">
      <c r="A82" s="98" t="s">
        <v>278</v>
      </c>
      <c r="B82" s="99"/>
    </row>
    <row r="83">
      <c r="A83" s="98" t="s">
        <v>281</v>
      </c>
      <c r="B83" s="99"/>
    </row>
    <row r="84">
      <c r="A84" s="98" t="s">
        <v>284</v>
      </c>
      <c r="B84" s="99"/>
    </row>
    <row r="85">
      <c r="A85" s="98" t="s">
        <v>287</v>
      </c>
      <c r="B85" s="99"/>
    </row>
    <row r="86">
      <c r="A86" s="98" t="s">
        <v>290</v>
      </c>
      <c r="B86" s="99"/>
    </row>
    <row r="87">
      <c r="A87" s="98" t="s">
        <v>299</v>
      </c>
      <c r="B87" s="99"/>
    </row>
    <row r="88">
      <c r="A88" s="98" t="s">
        <v>302</v>
      </c>
      <c r="B88" s="99"/>
    </row>
    <row r="89">
      <c r="A89" s="98" t="s">
        <v>305</v>
      </c>
      <c r="B89" s="99"/>
    </row>
    <row r="90">
      <c r="A90" s="98" t="s">
        <v>308</v>
      </c>
      <c r="B90" s="99"/>
    </row>
    <row r="91">
      <c r="A91" s="98" t="s">
        <v>311</v>
      </c>
      <c r="B91" s="99"/>
    </row>
    <row r="92">
      <c r="A92" s="98" t="s">
        <v>169</v>
      </c>
      <c r="B92" s="9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